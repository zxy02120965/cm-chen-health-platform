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eb14cdae3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T核心审核表" sheetId="1" r:id="R190bc94d8a3e4b8e"/>
    <x:sheet xmlns:r="http://schemas.openxmlformats.org/officeDocument/2006/relationships" name="疾病适配确认" sheetId="2" r:id="R043c1ec952a843be"/>
    <x:sheet xmlns:r="http://schemas.openxmlformats.org/officeDocument/2006/relationships" name="原始数据参考" sheetId="3" r:id="R470305335c88405b"/>
    <x:sheet xmlns:r="http://schemas.openxmlformats.org/officeDocument/2006/relationships" name="知识库缺口汇总" sheetId="4" r:id="R6366edce061942f0"/>
    <x:sheet xmlns:r="http://schemas.openxmlformats.org/officeDocument/2006/relationships" name="填写说明" sheetId="5" r:id="R0384018132ce4d9d"/>
    <x:sheet xmlns:r="http://schemas.openxmlformats.org/officeDocument/2006/relationships" name="份量执行映射_候选" sheetId="6" r:id="Rfa53e317b0a9451e"/>
    <x:sheet xmlns:r="http://schemas.openxmlformats.org/officeDocument/2006/relationships" name="规则与证据" sheetId="7" r:id="R5de07ffca9e34c61"/>
    <x:sheet xmlns:r="http://schemas.openxmlformats.org/officeDocument/2006/relationships" name="重点MDT审核" sheetId="8" r:id="R47fa40b730ca41f0"/>
    <x:sheet xmlns:r="http://schemas.openxmlformats.org/officeDocument/2006/relationships" name="MDT定稿结论" sheetId="9" r:id="R42998e79de63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i/>
      <x:sz val="11"/>
      <x:color rgb="FF1F1F1F"/>
      <x:name val="Carlito"/>
    </x:font>
    <x:font>
      <x:b/>
      <x:sz val="11"/>
      <x:name val="Carlito"/>
    </x:font>
    <x:font>
      <x:sz val="10"/>
      <x:color rgb="FF1F1F1F"/>
      <x:name val="Arial"/>
    </x:font>
    <x:font>
      <x:b/>
      <x:sz val="11"/>
      <x:color rgb="FFFFFFFF"/>
      <x:name val="Arial"/>
    </x:font>
    <x:font>
      <x:b/>
      <x:sz val="10"/>
      <x:color rgb="FF1F1F1F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C55A11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C55A11"/>
      </x:patternFill>
    </x:fill>
    <x:fill>
      <x:patternFill patternType="solid">
        <x:fgColor rgb="FF70AD47"/>
      </x:patternFill>
    </x:fill>
  </x:fills>
  <x:borders count="8">
    <x:border/>
    <x:border/>
    <x:border>
      <x:top style="thin">
        <x:color rgb="FFC65911"/>
      </x:top>
      <x:bottom style="thin">
        <x:color rgb="FFC65911"/>
      </x:bottom>
    </x:border>
    <x:border>
      <x:top style="thin">
        <x:color rgb="FFC65911"/>
      </x:top>
      <x:bottom style="thin">
        <x:color rgb="FFC65911"/>
      </x:bottom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</x:border>
    <x:border>
      <x:right style="thin">
        <x:color rgb="FFC00000"/>
      </x:right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12" borderId="0" xfId="0" applyNumberFormat="1" applyFont="1" applyFill="1" applyBorder="1" applyAlignment="1">
      <x:alignment horizontal="left" vertical="center" wrapText="1"/>
    </x:xf>
    <x:xf numFmtId="0" fontId="4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17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vertical="center"/>
    </x:xf>
    <x:xf numFmtId="0" fontId="6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8" fillId="18" borderId="0" xfId="0" applyNumberFormat="1" applyFont="1" applyFill="1" applyBorder="1" applyAlignment="1">
      <x:alignment horizontal="center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5" borderId="5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/>
  </x:cellXfs>
  <x:cellStyles count="1">
    <x:cellStyle name="Normal" xfId="0"/>
  </x:cellStyles>
  <x:dxfs count="3">
    <x:dxf>
      <x:font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de7d312704f1c" /><Relationship Type="http://schemas.openxmlformats.org/officeDocument/2006/relationships/theme" Target="/xl/theme/theme1.xml" Id="R57987d48a3ab44b3" /><Relationship Type="http://schemas.microsoft.com/office/2022/11/relationships/FeaturePropertyBag" Target="/xl/featurePropertyBag/featurePropertyBag.xml" Id="R48ad5e4ab9f3412f" /><Relationship Type="http://schemas.openxmlformats.org/officeDocument/2006/relationships/sharedStrings" Target="/xl/sharedStrings.xml" Id="R31f31c8cb2c74bbd" /><Relationship Type="http://schemas.openxmlformats.org/officeDocument/2006/relationships/worksheet" Target="/xl/worksheets/sheet1.xml" Id="R190bc94d8a3e4b8e" /><Relationship Type="http://schemas.openxmlformats.org/officeDocument/2006/relationships/worksheet" Target="/xl/worksheets/sheet2.xml" Id="R043c1ec952a843be" /><Relationship Type="http://schemas.openxmlformats.org/officeDocument/2006/relationships/worksheet" Target="/xl/worksheets/sheet3.xml" Id="R470305335c88405b" /><Relationship Type="http://schemas.openxmlformats.org/officeDocument/2006/relationships/worksheet" Target="/xl/worksheets/sheet4.xml" Id="R6366edce061942f0" /><Relationship Type="http://schemas.openxmlformats.org/officeDocument/2006/relationships/worksheet" Target="/xl/worksheets/sheet5.xml" Id="R0384018132ce4d9d" /><Relationship Type="http://schemas.openxmlformats.org/officeDocument/2006/relationships/worksheet" Target="/xl/worksheets/sheet6.xml" Id="Rfa53e317b0a9451e" /><Relationship Type="http://schemas.openxmlformats.org/officeDocument/2006/relationships/worksheet" Target="/xl/worksheets/sheet7.xml" Id="R5de07ffca9e34c61" /><Relationship Type="http://schemas.openxmlformats.org/officeDocument/2006/relationships/worksheet" Target="/xl/worksheets/sheet8.xml" Id="R47fa40b730ca41f0" /><Relationship Type="http://schemas.openxmlformats.org/officeDocument/2006/relationships/worksheet" Target="/xl/worksheets/sheet9.xml" Id="R42998e79de634d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0" hidden="0" customWidth="1"/>
    <x:col min="5" max="5" width="12" hidden="0" customWidth="1"/>
    <x:col min="6" max="6" width="3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0" hidden="0" customWidth="1"/>
    <x:col min="12" max="12" width="28" hidden="0" customWidth="1"/>
    <x:col min="13" max="13" width="34" hidden="0" customWidth="1"/>
    <x:col min="14" max="14" width="48" hidden="0" customWidth="1"/>
    <x:col min="15" max="15" width="15" hidden="0" customWidth="1"/>
    <x:col min="16" max="16" width="15" hidden="0" customWidth="1"/>
    <x:col min="17" max="17" width="15" hidden="0" customWidth="1"/>
    <x:col min="18" max="18" width="28" hidden="0" customWidth="1"/>
    <x:col min="19" max="19" width="22" hidden="0" customWidth="1"/>
    <x:col min="20" max="20" width="24" hidden="0" customWidth="1"/>
    <x:col min="21" max="21" width="12" hidden="0" customWidth="1"/>
    <x:col min="22" max="22" width="12" hidden="0" customWidth="1"/>
    <x:col min="23" max="23" width="38" hidden="0" customWidth="1"/>
    <x:col min="24" max="24" width="12" hidden="0" customWidth="1"/>
    <x:col min="25" max="25" width="24" hidden="0" customWidth="1"/>
    <x:col min="26" max="26" width="12" hidden="0" customWidth="1"/>
    <x:col min="27" max="27" width="14" hidden="0" customWidth="1"/>
    <x:col min="28" max="28" width="10" hidden="0" customWidth="1"/>
    <x:col min="29" max="29" width="28" hidden="0" customWidth="1"/>
    <x:col min="30" max="30" width="38" hidden="0" customWidth="1"/>
    <x:col min="31" max="31" width="22" hidden="0" customWidth="1"/>
    <x:col min="32" max="32" width="36" hidden="0" customWidth="1"/>
    <x:col min="33" max="33" width="42" hidden="0" customWidth="1"/>
    <x:col min="34" max="34" width="24" hidden="0" customWidth="1"/>
    <x:col min="35" max="35" width="32" hidden="0" customWidth="1"/>
    <x:col min="36" max="36" width="28" hidden="0" customWidth="1"/>
    <x:col min="37" max="37" width="22" hidden="0" customWidth="1"/>
    <x:col min="38" max="38" width="28" hidden="0" customWidth="1"/>
    <x:col min="39" max="39" width="16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 ht="26" customHeight="1">
      <x:c r="A1" s="73" t="str">
        <x:v>FOOD知识库 MDT核心审核表｜V1.3 营养学审定完善版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36" customHeight="1">
      <x:c r="A2" s="75" t="str">
        <x:v>本版为AI预填MDT审核稿：M–W及AC–AG为候选值。重要：component_portion_scale（0.5/0.75/1/1.25/1.5）仅为本项目内部相对base配方的缩放，不等同于T/CNSS 020—2023的90kcal“食物交换份”；患者/医生最终方案不得仅显示“0.75份/1份”，必须物化为g/ml/个并在执行化后重算营养。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</x:row>
    <x:row r="3" ht="42" customHeight="1">
      <x:c r="A3" s="63" t="str">
        <x:v>component_id</x:v>
      </x:c>
      <x:c r="B3" s="63" t="str">
        <x:v>组件名称</x:v>
      </x:c>
      <x:c r="C3" s="63" t="str">
        <x:v>类别</x:v>
      </x:c>
      <x:c r="D3" s="63" t="str">
        <x:v>当前子类别</x:v>
      </x:c>
      <x:c r="E3" s="63" t="str">
        <x:v>D/E优先审核</x:v>
      </x:c>
      <x:c r="F3" s="63" t="str">
        <x:v>原始食材与份量</x:v>
      </x:c>
      <x:c r="G3" s="63" t="str">
        <x:v>能量(kcal)</x:v>
      </x:c>
      <x:c r="H3" s="63" t="str">
        <x:v>蛋白质(g)</x:v>
      </x:c>
      <x:c r="I3" s="63" t="str">
        <x:v>碳水(g)</x:v>
      </x:c>
      <x:c r="J3" s="63" t="str">
        <x:v>脂肪(g)</x:v>
      </x:c>
      <x:c r="K3" s="63" t="str">
        <x:v>现有限制/注意</x:v>
      </x:c>
      <x:c r="L3" s="63" t="str">
        <x:v>现有替代项</x:v>
      </x:c>
      <x:c r="M3" s="67" t="str">
        <x:v>重量口径【必填】</x:v>
      </x:c>
      <x:c r="N3" s="67" t="str">
        <x:v>份量调整口径【必填】</x:v>
      </x:c>
      <x:c r="O3" s="67" t="str">
        <x:v>份量下限【必填】</x:v>
      </x:c>
      <x:c r="P3" s="67" t="str">
        <x:v>份量上限【必填】</x:v>
      </x:c>
      <x:c r="Q3" s="67" t="str">
        <x:v>调整步长【必填】</x:v>
      </x:c>
      <x:c r="R3" s="67" t="str">
        <x:v>基础份量是否确认</x:v>
      </x:c>
      <x:c r="S3" s="67" t="str">
        <x:v>基础份量修正（仅需修改时）</x:v>
      </x:c>
      <x:c r="T3" s="67" t="str">
        <x:v>子类别确认/修正（unknown或需改时）</x:v>
      </x:c>
      <x:c r="U3" s="67" t="str">
        <x:v>D型适用性</x:v>
      </x:c>
      <x:c r="V3" s="67" t="str">
        <x:v>E型适用性</x:v>
      </x:c>
      <x:c r="W3" s="67" t="str">
        <x:v>D/E备注</x:v>
      </x:c>
      <x:c r="X3" s="63" t="str">
        <x:v>MDT审核状态</x:v>
      </x:c>
      <x:c r="Y3" s="63" t="str">
        <x:v>审核意见</x:v>
      </x:c>
      <x:c r="Z3" s="63" t="str">
        <x:v>审核人</x:v>
      </x:c>
      <x:c r="AA3" s="63" t="str">
        <x:v>审核日期</x:v>
      </x:c>
      <x:c r="AB3" s="63" t="str">
        <x:v>来源表</x:v>
      </x:c>
      <x:c r="AC3" s="71" t="str">
        <x:v>AI候选执行化策略</x:v>
      </x:c>
      <x:c r="AD3" s="71" t="str">
        <x:v>患者端最终显示硬规则</x:v>
      </x:c>
      <x:c r="AE3" s="71" t="str">
        <x:v>证据性质</x:v>
      </x:c>
      <x:c r="AF3" s="71" t="str">
        <x:v>主要依据</x:v>
      </x:c>
      <x:c r="AG3" s="71" t="str">
        <x:v>来源URL</x:v>
      </x:c>
      <x:c r="AH3" s="117" t="str">
        <x:v>nutrition_status</x:v>
      </x:c>
      <x:c r="AI3" s="117" t="str">
        <x:v>pending_source_items</x:v>
      </x:c>
      <x:c r="AJ3" s="117" t="str">
        <x:v>allowed_component_scales</x:v>
      </x:c>
      <x:c r="AK3" s="117" t="str">
        <x:v>scale_resolution_status</x:v>
      </x:c>
      <x:c r="AL3" s="117" t="str">
        <x:v>MDT_final_decision</x:v>
      </x:c>
      <x:c r="AM3" s="117" t="str">
        <x:v>IngredientMaster重算_kcal</x:v>
      </x:c>
      <x:c r="AN3" s="117" t="str">
        <x:v>IngredientMaster重算_蛋白g</x:v>
      </x:c>
      <x:c r="AO3" s="117" t="str">
        <x:v>IngredientMaster重算_碳水g</x:v>
      </x:c>
      <x:c r="AP3" s="117" t="str">
        <x:v>IngredientMaster重算_脂肪g</x:v>
      </x:c>
    </x:row>
    <x:row r="4">
      <x:c r="A4" s="30" t="str">
        <x:v>C001</x:v>
      </x:c>
      <x:c r="B4" s="30" t="str">
        <x:v>白米饭基础份</x:v>
      </x:c>
      <x:c r="C4" s="30" t="str">
        <x:v>staple</x:v>
      </x:c>
      <x:c r="D4" s="30" t="str">
        <x:v>refined_grain</x:v>
      </x:c>
      <x:c r="E4" s="48" t="str">
        <x:v>是</x:v>
      </x:c>
      <x:c r="F4" s="48" t="str">
        <x:v>大米50g</x:v>
      </x:c>
      <x:c r="G4" s="48" t="n">
        <x:v>174.9</x:v>
      </x:c>
      <x:c r="H4" s="48" t="n">
        <x:v>3.9</x:v>
      </x:c>
      <x:c r="I4" s="48" t="n">
        <x:v>38.7</x:v>
      </x:c>
      <x:c r="J4" s="48" t="n">
        <x:v>0.3</x:v>
      </x:c>
      <x:c r="K4" s="48" t="str">
        <x:v>糖代谢异常者优先与全谷/杂豆搭配，不建议单独大量使用。</x:v>
      </x:c>
      <x:c r="L4" s="48" t="str">
        <x:v>可替换为C002/C003/C005。</x:v>
      </x:c>
      <x:c r="M4" s="68" t="str">
        <x:v>谷物/面粉/干面按干/生重</x:v>
      </x:c>
      <x:c r="N4" s="68" t="str">
        <x:v>组件scale必须由Ingredient Master逐食材执行化后判定；只允许列出的合法scale，禁止突破任一食材min/max/step。</x:v>
      </x:c>
      <x:c r="O4" s="68" t="str">
        <x:v>0.5×base</x:v>
      </x:c>
      <x:c r="P4" s="68" t="str">
        <x:v>1.5×base</x:v>
      </x:c>
      <x:c r="Q4" s="68" t="str">
        <x:v>0.25×base</x:v>
      </x:c>
      <x:c r="R4" s="68" t="str">
        <x:v>MDT原则确认</x:v>
      </x:c>
      <x:c r="S4" s="68" t="str"/>
      <x:c r="T4" s="68" t="str"/>
      <x:c r="U4" s="68" t="str">
        <x:v>推荐</x:v>
      </x:c>
      <x:c r="V4" s="68" t="str">
        <x:v>推荐</x:v>
      </x:c>
      <x:c r="W4" s="68" t="str">
        <x:v>E/D摄入不足时优先保证主食+主蛋白；粥/面包需避免单独低蛋白进食。</x:v>
      </x:c>
      <x:c r="X4" s="41" t="str">
        <x:v>确认</x:v>
      </x:c>
      <x:c r="Y4" s="41" t="str">
        <x:v>已按Ingredient Master单一事实来源重算营养；旧组件营养值仅保留历史追溯。</x:v>
      </x:c>
      <x:c r="Z4" s="41" t="str"/>
      <x:c r="AA4" s="41" t="str"/>
      <x:c r="AB4" s="41" t="n">
        <x:v>8</x:v>
      </x:c>
      <x:c r="AC4" s="72" t="str">
        <x:v>LINEAR_WITH_EXECUTION_ROUNDING</x:v>
      </x:c>
      <x:c r="AD4" s="72" t="str">
        <x:v>最终医生/患者方案必须显示g/ml/个（复合菜展开主要食材）；component_portion_scale仅后台保留。</x:v>
      </x:c>
      <x:c r="AE4" s="72" t="str">
        <x:v>候选规则（需MDT确认）</x:v>
      </x:c>
      <x:c r="AF4" s="72" t="str">
        <x:v>SRC01+SRC03+现有FOOD base recipe</x:v>
      </x:c>
      <x:c r="AG4" s="72" t="str">
        <x:v>https://www.cnssci.net/uploads/allimg/20240607/1-24060G41PM29.pdf ; https://dg.cnsoc.org/article/04/J4-AsD_DR3OLQMnHG0-jZA.html</x:v>
      </x:c>
      <x:c r="AH4" s="30" t="str">
        <x:v>ACTIVE_RECALCULATED</x:v>
      </x:c>
      <x:c r="AI4" s="30" t="str"/>
      <x:c r="AJ4" s="30" t="str">
        <x:v>0.5,0.75,1,1.25,1.5</x:v>
      </x:c>
      <x:c r="AK4" s="30" t="str">
        <x:v>PASS</x:v>
      </x:c>
      <x:c r="AL4" s="30" t="str">
        <x:v>ACTIVE_FOR_EXACT</x:v>
      </x:c>
      <x:c r="AM4" s="30" t="n">
        <x:v>174.9</x:v>
      </x:c>
      <x:c r="AN4" s="30" t="n">
        <x:v>3.9</x:v>
      </x:c>
      <x:c r="AO4" s="30" t="n">
        <x:v>38.7</x:v>
      </x:c>
      <x:c r="AP4" s="30" t="n">
        <x:v>0.3</x:v>
      </x:c>
    </x:row>
    <x:row r="5">
      <x:c r="A5" s="30" t="str">
        <x:v>C002</x:v>
      </x:c>
      <x:c r="B5" s="30" t="str">
        <x:v>糙米饭基础份</x:v>
      </x:c>
      <x:c r="C5" s="30" t="str">
        <x:v>staple</x:v>
      </x:c>
      <x:c r="D5" s="30" t="str">
        <x:v>whole_grain</x:v>
      </x:c>
      <x:c r="E5" s="48" t="str">
        <x:v>是</x:v>
      </x:c>
      <x:c r="F5" s="48" t="str">
        <x:v>糙米50g</x:v>
      </x:c>
      <x:c r="G5" s="48" t="n">
        <x:v>174</x:v>
      </x:c>
      <x:c r="H5" s="48" t="n">
        <x:v>3.9</x:v>
      </x:c>
      <x:c r="I5" s="48" t="n">
        <x:v>37.5</x:v>
      </x:c>
      <x:c r="J5" s="48" t="n">
        <x:v>1.4</x:v>
      </x:c>
      <x:c r="K5" s="48" t="str">
        <x:v>胃肠耐受差或术前极短窗口可降低粗杂粮比例。</x:v>
      </x:c>
      <x:c r="L5" s="48" t="str">
        <x:v>可与白米1:1混合。</x:v>
      </x:c>
      <x:c r="M5" s="68" t="str">
        <x:v>谷物/面粉/干面按干/生重</x:v>
      </x:c>
      <x:c r="N5" s="68" t="str">
        <x:v>组件scale必须由Ingredient Master逐食材执行化后判定；只允许列出的合法scale，禁止突破任一食材min/max/step。</x:v>
      </x:c>
      <x:c r="O5" s="68" t="str">
        <x:v>0.5×base</x:v>
      </x:c>
      <x:c r="P5" s="68" t="str">
        <x:v>1.5×base</x:v>
      </x:c>
      <x:c r="Q5" s="68" t="str">
        <x:v>0.25×base</x:v>
      </x:c>
      <x:c r="R5" s="68" t="str">
        <x:v>MDT原则确认</x:v>
      </x:c>
      <x:c r="S5" s="68" t="str"/>
      <x:c r="T5" s="68" t="str"/>
      <x:c r="U5" s="68" t="str">
        <x:v>可用</x:v>
      </x:c>
      <x:c r="V5" s="68" t="str">
        <x:v>条件可用</x:v>
      </x:c>
      <x:c r="W5" s="68" t="str">
        <x:v>早饱、恶心、胀气或消化耐受差时减少粗杂粮/鲜玉米，必要时换白米/软食。</x:v>
      </x:c>
      <x:c r="X5" s="41" t="str">
        <x:v>规则确认，来源待补</x:v>
      </x:c>
      <x:c r="Y5" s="41" t="str">
        <x:v>份量/执行规则已确认；含未完成营养来源/产品/身份确认的基础食材，禁止用于EXACT营养闭合。</x:v>
      </x:c>
      <x:c r="Z5" s="41" t="str"/>
      <x:c r="AA5" s="41" t="str"/>
      <x:c r="AB5" s="41" t="n">
        <x:v>8</x:v>
      </x:c>
      <x:c r="AC5" s="72" t="str">
        <x:v>LINEAR_WITH_EXECUTION_ROUNDING</x:v>
      </x:c>
      <x:c r="AD5" s="72" t="str">
        <x:v>最终医生/患者方案必须显示g/ml/个（复合菜展开主要食材）；component_portion_scale仅后台保留。</x:v>
      </x:c>
      <x:c r="AE5" s="72" t="str">
        <x:v>候选规则（需MDT确认）</x:v>
      </x:c>
      <x:c r="AF5" s="72" t="str">
        <x:v>SRC01+SRC03+现有FOOD base recipe</x:v>
      </x:c>
      <x:c r="AG5" s="72" t="str">
        <x:v>https://www.cnssci.net/uploads/allimg/20240607/1-24060G41PM29.pdf ; https://dg.cnsoc.org/article/04/J4-AsD_DR3OLQMnHG0-jZA.html</x:v>
      </x:c>
      <x:c r="AH5" s="30" t="str">
        <x:v>NEEDS_SOURCE_RECALC</x:v>
      </x:c>
      <x:c r="AI5" s="30" t="str">
        <x:v>糙米</x:v>
      </x:c>
      <x:c r="AJ5" s="30" t="str">
        <x:v>0.5,0.75,1,1.25,1.5</x:v>
      </x:c>
      <x:c r="AK5" s="30" t="str">
        <x:v>PASS</x:v>
      </x:c>
      <x:c r="AL5" s="30" t="str">
        <x:v>RULE_APPROVED_SOURCE_PENDING</x:v>
      </x:c>
      <x:c r="AM5" s="30" t="n">
        <x:v>174</x:v>
      </x:c>
      <x:c r="AN5" s="30" t="n">
        <x:v>3.9</x:v>
      </x:c>
      <x:c r="AO5" s="30" t="n">
        <x:v>37.5</x:v>
      </x:c>
      <x:c r="AP5" s="30" t="n">
        <x:v>1.4</x:v>
      </x:c>
    </x:row>
    <x:row r="6">
      <x:c r="A6" s="30" t="str">
        <x:v>C003</x:v>
      </x:c>
      <x:c r="B6" s="30" t="str">
        <x:v>杂粮饭基础份</x:v>
      </x:c>
      <x:c r="C6" s="30" t="str">
        <x:v>staple</x:v>
      </x:c>
      <x:c r="D6" s="30" t="str">
        <x:v>whole_grain</x:v>
      </x:c>
      <x:c r="E6" s="48" t="str">
        <x:v>是</x:v>
      </x:c>
      <x:c r="F6" s="48" t="str">
        <x:v>大米35g；糙米15g；赤小豆干10g</x:v>
      </x:c>
      <x:c r="G6" s="48" t="n">
        <x:v>206</x:v>
      </x:c>
      <x:c r="H6" s="48" t="n">
        <x:v>5.8</x:v>
      </x:c>
      <x:c r="I6" s="48" t="n">
        <x:v>44.9</x:v>
      </x:c>
      <x:c r="J6" s="48" t="n">
        <x:v>0.7</x:v>
      </x:c>
      <x:c r="K6" s="48" t="str">
        <x:v>痛风急性发作/胃肠不适时具体杂豆量按医护意见调整。</x:v>
      </x:c>
      <x:c r="L6" s="48" t="str">
        <x:v>赤小豆可换绿豆/芸豆等同类。</x:v>
      </x:c>
      <x:c r="M6" s="68" t="str">
        <x:v>谷物/面粉/干面按干/生重</x:v>
      </x:c>
      <x:c r="N6" s="68" t="str">
        <x:v>组件scale必须由Ingredient Master逐食材执行化后判定；只允许列出的合法scale，禁止突破任一食材min/max/step。</x:v>
      </x:c>
      <x:c r="O6" s="68" t="str">
        <x:v>1×base</x:v>
      </x:c>
      <x:c r="P6" s="68" t="str">
        <x:v>1.5×base</x:v>
      </x:c>
      <x:c r="Q6" s="68" t="str">
        <x:v>0.25×base</x:v>
      </x:c>
      <x:c r="R6" s="68" t="str">
        <x:v>MDT原则确认</x:v>
      </x:c>
      <x:c r="S6" s="68" t="str"/>
      <x:c r="T6" s="68" t="str"/>
      <x:c r="U6" s="68" t="str">
        <x:v>可用</x:v>
      </x:c>
      <x:c r="V6" s="68" t="str">
        <x:v>条件可用</x:v>
      </x:c>
      <x:c r="W6" s="68" t="str">
        <x:v>早饱、恶心、胀气或消化耐受差时减少粗杂粮/鲜玉米，必要时换白米/软食。</x:v>
      </x:c>
      <x:c r="X6" s="41" t="str">
        <x:v>规则确认，来源待补</x:v>
      </x:c>
      <x:c r="Y6" s="41" t="str">
        <x:v>份量/执行规则已确认；含未完成营养来源/产品/身份确认的基础食材，禁止用于EXACT营养闭合。</x:v>
      </x:c>
      <x:c r="Z6" s="41" t="str"/>
      <x:c r="AA6" s="41" t="str"/>
      <x:c r="AB6" s="41" t="n">
        <x:v>8</x:v>
      </x:c>
      <x:c r="AC6" s="72" t="str">
        <x:v>LINEAR_WITH_EXECUTION_ROUNDING</x:v>
      </x:c>
      <x:c r="AD6" s="72" t="str">
        <x:v>最终医生/患者方案必须显示g/ml/个（复合菜展开主要食材）；component_portion_scale仅后台保留。</x:v>
      </x:c>
      <x:c r="AE6" s="72" t="str">
        <x:v>候选规则（需MDT确认）</x:v>
      </x:c>
      <x:c r="AF6" s="72" t="str">
        <x:v>SRC01+SRC03+现有FOOD base recipe</x:v>
      </x:c>
      <x:c r="AG6" s="72" t="str">
        <x:v>https://www.cnssci.net/uploads/allimg/20240607/1-24060G41PM29.pdf ; https://dg.cnsoc.org/article/04/J4-AsD_DR3OLQMnHG0-jZA.html</x:v>
      </x:c>
      <x:c r="AH6" s="30" t="str">
        <x:v>NEEDS_SOURCE_RECALC</x:v>
      </x:c>
      <x:c r="AI6" s="30" t="str">
        <x:v>糙米</x:v>
      </x:c>
      <x:c r="AJ6" s="30" t="str">
        <x:v>1,1.25,1.5</x:v>
      </x:c>
      <x:c r="AK6" s="30" t="str">
        <x:v>PASS</x:v>
      </x:c>
      <x:c r="AL6" s="30" t="str">
        <x:v>RULE_APPROVED_SOURCE_PENDING</x:v>
      </x:c>
      <x:c r="AM6" s="30" t="n">
        <x:v>207.5</x:v>
      </x:c>
      <x:c r="AN6" s="30" t="n">
        <x:v>5.9</x:v>
      </x:c>
      <x:c r="AO6" s="30" t="n">
        <x:v>44.7</x:v>
      </x:c>
      <x:c r="AP6" s="30" t="n">
        <x:v>0.7</x:v>
      </x:c>
    </x:row>
    <x:row r="7">
      <x:c r="A7" s="30" t="str">
        <x:v>C004</x:v>
      </x:c>
      <x:c r="B7" s="30" t="str">
        <x:v>燕麦早餐份</x:v>
      </x:c>
      <x:c r="C7" s="30" t="str">
        <x:v>staple</x:v>
      </x:c>
      <x:c r="D7" s="30" t="str">
        <x:v>whole_grain</x:v>
      </x:c>
      <x:c r="E7" s="48" t="str">
        <x:v>是</x:v>
      </x:c>
      <x:c r="F7" s="48" t="str">
        <x:v>燕麦片40g</x:v>
      </x:c>
      <x:c r="G7" s="48" t="n">
        <x:v>152.3</x:v>
      </x:c>
      <x:c r="H7" s="48" t="n">
        <x:v>6</x:v>
      </x:c>
      <x:c r="I7" s="48" t="n">
        <x:v>26.8</x:v>
      </x:c>
      <x:c r="J7" s="48" t="n">
        <x:v>2.7</x:v>
      </x:c>
      <x:c r="K7" s="48" t="str">
        <x:v>吞咽或胃肠耐受差时调整稠度。</x:v>
      </x:c>
      <x:c r="L7" s="48" t="str">
        <x:v>可换小米/杂粮粥。</x:v>
      </x:c>
      <x:c r="M7" s="68" t="str">
        <x:v>谷物/面粉/干面按干/生重</x:v>
      </x:c>
      <x:c r="N7" s="68" t="str">
        <x:v>组件scale必须由Ingredient Master逐食材执行化后判定；只允许列出的合法scale，禁止突破任一食材min/max/step。</x:v>
      </x:c>
      <x:c r="O7" s="68" t="str">
        <x:v>0.5×base</x:v>
      </x:c>
      <x:c r="P7" s="68" t="str">
        <x:v>1.5×base</x:v>
      </x:c>
      <x:c r="Q7" s="68" t="str">
        <x:v>0.25×base</x:v>
      </x:c>
      <x:c r="R7" s="68" t="str">
        <x:v>MDT原则确认</x:v>
      </x:c>
      <x:c r="S7" s="68" t="str"/>
      <x:c r="T7" s="68" t="str"/>
      <x:c r="U7" s="68" t="str">
        <x:v>可用</x:v>
      </x:c>
      <x:c r="V7" s="68" t="str">
        <x:v>可用</x:v>
      </x:c>
      <x:c r="W7" s="68" t="str">
        <x:v>按耐受控制单餐体积；E型不因追求“健康粗粮”牺牲完成率。</x:v>
      </x:c>
      <x:c r="X7" s="41" t="str">
        <x:v>确认</x:v>
      </x:c>
      <x:c r="Y7" s="41" t="str">
        <x:v>已按Ingredient Master单一事实来源重算营养；旧组件营养值仅保留历史追溯。</x:v>
      </x:c>
      <x:c r="Z7" s="41" t="str"/>
      <x:c r="AA7" s="41" t="str"/>
      <x:c r="AB7" s="41" t="n">
        <x:v>8</x:v>
      </x:c>
      <x:c r="AC7" s="72" t="str">
        <x:v>LINEAR_WITH_EXECUTION_ROUNDING</x:v>
      </x:c>
      <x:c r="AD7" s="72" t="str">
        <x:v>最终医生/患者方案必须显示g/ml/个（复合菜展开主要食材）；component_portion_scale仅后台保留。</x:v>
      </x:c>
      <x:c r="AE7" s="72" t="str">
        <x:v>候选规则（需MDT确认）</x:v>
      </x:c>
      <x:c r="AF7" s="72" t="str">
        <x:v>SRC01+SRC03+现有FOOD base recipe</x:v>
      </x:c>
      <x:c r="AG7" s="72" t="str">
        <x:v>https://www.cnssci.net/uploads/allimg/20240607/1-24060G41PM29.pdf ; https://dg.cnsoc.org/article/04/J4-AsD_DR3OLQMnHG0-jZA.html</x:v>
      </x:c>
      <x:c r="AH7" s="30" t="str">
        <x:v>ACTIVE_RECALCULATED</x:v>
      </x:c>
      <x:c r="AI7" s="30" t="str"/>
      <x:c r="AJ7" s="30" t="str">
        <x:v>0.5,0.75,1,1.25,1.5</x:v>
      </x:c>
      <x:c r="AK7" s="30" t="str">
        <x:v>PASS</x:v>
      </x:c>
      <x:c r="AL7" s="30" t="str">
        <x:v>ACTIVE_FOR_EXACT</x:v>
      </x:c>
      <x:c r="AM7" s="30" t="n">
        <x:v>152.3</x:v>
      </x:c>
      <x:c r="AN7" s="30" t="n">
        <x:v>6</x:v>
      </x:c>
      <x:c r="AO7" s="30" t="n">
        <x:v>26.8</x:v>
      </x:c>
      <x:c r="AP7" s="30" t="n">
        <x:v>2.7</x:v>
      </x:c>
    </x:row>
    <x:row r="8">
      <x:c r="A8" s="30" t="str">
        <x:v>C005</x:v>
      </x:c>
      <x:c r="B8" s="30" t="str">
        <x:v>全麦馒头基础份</x:v>
      </x:c>
      <x:c r="C8" s="30" t="str">
        <x:v>staple</x:v>
      </x:c>
      <x:c r="D8" s="30" t="str">
        <x:v>whole_grain</x:v>
      </x:c>
      <x:c r="E8" s="48" t="str">
        <x:v>是</x:v>
      </x:c>
      <x:c r="F8" s="48" t="str">
        <x:v>全麦面粉60g</x:v>
      </x:c>
      <x:c r="G8" s="48" t="n">
        <x:v>203</x:v>
      </x:c>
      <x:c r="H8" s="48" t="n">
        <x:v>7.2</x:v>
      </x:c>
      <x:c r="I8" s="48" t="n">
        <x:v>41.4</x:v>
      </x:c>
      <x:c r="J8" s="48" t="n">
        <x:v>1.5</x:v>
      </x:c>
      <x:c r="K8" s="48" t="str">
        <x:v>购买成品需关注钠和添加糖。</x:v>
      </x:c>
      <x:c r="L8" s="48" t="str">
        <x:v>可换全麦面包C011。</x:v>
      </x:c>
      <x:c r="M8" s="68" t="str">
        <x:v>谷物/面粉/干面按干/生重</x:v>
      </x:c>
      <x:c r="N8" s="68" t="str">
        <x:v>组件scale必须由Ingredient Master逐食材执行化后判定；只允许列出的合法scale，禁止突破任一食材min/max/step。</x:v>
      </x:c>
      <x:c r="O8" s="68" t="str">
        <x:v>0.5×base</x:v>
      </x:c>
      <x:c r="P8" s="68" t="str">
        <x:v>1.25×base</x:v>
      </x:c>
      <x:c r="Q8" s="68" t="str">
        <x:v>0.25×base</x:v>
      </x:c>
      <x:c r="R8" s="68" t="str">
        <x:v>MDT原则确认</x:v>
      </x:c>
      <x:c r="S8" s="68" t="str"/>
      <x:c r="T8" s="68" t="str"/>
      <x:c r="U8" s="68" t="str">
        <x:v>可用</x:v>
      </x:c>
      <x:c r="V8" s="68" t="str">
        <x:v>可用</x:v>
      </x:c>
      <x:c r="W8" s="68" t="str">
        <x:v>按耐受控制单餐体积；E型不因追求“健康粗粮”牺牲完成率。</x:v>
      </x:c>
      <x:c r="X8" s="41" t="str">
        <x:v>规则确认，来源待补</x:v>
      </x:c>
      <x:c r="Y8" s="41" t="str">
        <x:v>份量/执行规则已确认；含未完成营养来源/产品/身份确认的基础食材，禁止用于EXACT营养闭合。</x:v>
      </x:c>
      <x:c r="Z8" s="41" t="str"/>
      <x:c r="AA8" s="41" t="str"/>
      <x:c r="AB8" s="41" t="n">
        <x:v>8</x:v>
      </x:c>
      <x:c r="AC8" s="72" t="str">
        <x:v>LINEAR_WITH_EXECUTION_ROUNDING</x:v>
      </x:c>
      <x:c r="AD8" s="72" t="str">
        <x:v>最终医生/患者方案必须显示g/ml/个（复合菜展开主要食材）；component_portion_scale仅后台保留。</x:v>
      </x:c>
      <x:c r="AE8" s="72" t="str">
        <x:v>候选规则（需MDT确认）</x:v>
      </x:c>
      <x:c r="AF8" s="72" t="str">
        <x:v>SRC01+SRC03+现有FOOD base recipe</x:v>
      </x:c>
      <x:c r="AG8" s="72" t="str">
        <x:v>https://www.cnssci.net/uploads/allimg/20240607/1-24060G41PM29.pdf ; https://dg.cnsoc.org/article/04/J4-AsD_DR3OLQMnHG0-jZA.html</x:v>
      </x:c>
      <x:c r="AH8" s="30" t="str">
        <x:v>NEEDS_SOURCE_RECALC</x:v>
      </x:c>
      <x:c r="AI8" s="30" t="str">
        <x:v>全麦面粉</x:v>
      </x:c>
      <x:c r="AJ8" s="30" t="str">
        <x:v>0.5,0.75,1,1.25</x:v>
      </x:c>
      <x:c r="AK8" s="30" t="str">
        <x:v>PASS</x:v>
      </x:c>
      <x:c r="AL8" s="30" t="str">
        <x:v>RULE_APPROVED_SOURCE_PENDING</x:v>
      </x:c>
      <x:c r="AM8" s="30" t="n">
        <x:v>203</x:v>
      </x:c>
      <x:c r="AN8" s="30" t="n">
        <x:v>7.2</x:v>
      </x:c>
      <x:c r="AO8" s="30" t="n">
        <x:v>41.4</x:v>
      </x:c>
      <x:c r="AP8" s="30" t="n">
        <x:v>1.5</x:v>
      </x:c>
    </x:row>
    <x:row r="9">
      <x:c r="A9" s="30" t="str">
        <x:v>C006</x:v>
      </x:c>
      <x:c r="B9" s="30" t="str">
        <x:v>鲜玉米基础份</x:v>
      </x:c>
      <x:c r="C9" s="30" t="str">
        <x:v>staple</x:v>
      </x:c>
      <x:c r="D9" s="56" t="str">
        <x:v>unknown</x:v>
      </x:c>
      <x:c r="E9" s="30" t="str">
        <x:v>是</x:v>
      </x:c>
      <x:c r="F9" s="30" t="str">
        <x:v>玉米鲜150g</x:v>
      </x:c>
      <x:c r="G9" s="30" t="n">
        <x:v>169.9</x:v>
      </x:c>
      <x:c r="H9" s="30" t="n">
        <x:v>6</x:v>
      </x:c>
      <x:c r="I9" s="30" t="n">
        <x:v>34.2</x:v>
      </x:c>
      <x:c r="J9" s="30" t="n">
        <x:v>1.8</x:v>
      </x:c>
      <x:c r="K9" s="30" t="str">
        <x:v>消化不良者可减少份量。</x:v>
      </x:c>
      <x:c r="L9" s="30" t="str">
        <x:v>可换红薯C007。</x:v>
      </x:c>
      <x:c r="M9" s="69" t="str">
        <x:v>肉鱼豆腐蔬果按烹调前可食部重量</x:v>
      </x:c>
      <x:c r="N9" s="69" t="str">
        <x:v>组件scale必须由Ingredient Master逐食材执行化后判定；只允许列出的合法scale，禁止突破任一食材min/max/step。</x:v>
      </x:c>
      <x:c r="O9" s="69" t="str">
        <x:v>0.5×base</x:v>
      </x:c>
      <x:c r="P9" s="69" t="str">
        <x:v>1.25×base</x:v>
      </x:c>
      <x:c r="Q9" s="69" t="str">
        <x:v>0.25×base</x:v>
      </x:c>
      <x:c r="R9" s="69" t="str">
        <x:v>MDT原则确认</x:v>
      </x:c>
      <x:c r="S9" s="69" t="str"/>
      <x:c r="T9" s="70" t="str">
        <x:v>fresh_corn_staple</x:v>
      </x:c>
      <x:c r="U9" s="68" t="str">
        <x:v>可用</x:v>
      </x:c>
      <x:c r="V9" s="68" t="str">
        <x:v>条件可用</x:v>
      </x:c>
      <x:c r="W9" s="68" t="str">
        <x:v>早饱、恶心、胀气或消化耐受差时减少粗杂粮/鲜玉米，必要时换白米/软食。</x:v>
      </x:c>
      <x:c r="X9" s="41" t="str">
        <x:v>确认</x:v>
      </x:c>
      <x:c r="Y9" s="41" t="str">
        <x:v>已按Ingredient Master单一事实来源重算营养；旧组件营养值仅保留历史追溯。</x:v>
      </x:c>
      <x:c r="Z9" s="41" t="str"/>
      <x:c r="AA9" s="41" t="str"/>
      <x:c r="AB9" s="41" t="n">
        <x:v>8</x:v>
      </x:c>
      <x:c r="AC9" s="72" t="str">
        <x:v>LINEAR_WITH_EXECUTION_ROUNDING</x:v>
      </x:c>
      <x:c r="AD9" s="72" t="str">
        <x:v>最终医生/患者方案必须显示g/ml/个（复合菜展开主要食材）；component_portion_scale仅后台保留。</x:v>
      </x:c>
      <x:c r="AE9" s="72" t="str">
        <x:v>候选规则（需MDT确认）</x:v>
      </x:c>
      <x:c r="AF9" s="72" t="str">
        <x:v>SRC01+SRC03+现有FOOD base recipe</x:v>
      </x:c>
      <x:c r="AG9" s="72" t="str">
        <x:v>https://www.cnssci.net/uploads/allimg/20240607/1-24060G41PM29.pdf ; https://dg.cnsoc.org/article/04/J4-AsD_DR3OLQMnHG0-jZA.html</x:v>
      </x:c>
      <x:c r="AH9" s="30" t="str">
        <x:v>ACTIVE_RECALCULATED</x:v>
      </x:c>
      <x:c r="AI9" s="30" t="str"/>
      <x:c r="AJ9" s="30" t="str">
        <x:v>0.5,0.75,1,1.25</x:v>
      </x:c>
      <x:c r="AK9" s="30" t="str">
        <x:v>PASS</x:v>
      </x:c>
      <x:c r="AL9" s="30" t="str">
        <x:v>ACTIVE_FOR_EXACT</x:v>
      </x:c>
      <x:c r="AM9" s="30" t="n">
        <x:v>169.9</x:v>
      </x:c>
      <x:c r="AN9" s="30" t="n">
        <x:v>6</x:v>
      </x:c>
      <x:c r="AO9" s="30" t="n">
        <x:v>34.2</x:v>
      </x:c>
      <x:c r="AP9" s="30" t="n">
        <x:v>1.8</x:v>
      </x:c>
    </x:row>
    <x:row r="10">
      <x:c r="A10" s="30" t="str">
        <x:v>C007</x:v>
      </x:c>
      <x:c r="B10" s="30" t="str">
        <x:v>蒸红薯基础份</x:v>
      </x:c>
      <x:c r="C10" s="30" t="str">
        <x:v>staple</x:v>
      </x:c>
      <x:c r="D10" s="30" t="str">
        <x:v>tuber</x:v>
      </x:c>
      <x:c r="E10" s="48" t="str">
        <x:v>是</x:v>
      </x:c>
      <x:c r="F10" s="48" t="str">
        <x:v>红薯150g</x:v>
      </x:c>
      <x:c r="G10" s="48" t="n">
        <x:v>154.9</x:v>
      </x:c>
      <x:c r="H10" s="48" t="n">
        <x:v>1.6</x:v>
      </x:c>
      <x:c r="I10" s="48" t="n">
        <x:v>37</x:v>
      </x:c>
      <x:c r="J10" s="48" t="n">
        <x:v>0.3</x:v>
      </x:c>
      <x:c r="K10" s="48" t="str">
        <x:v>糖代谢异常者仍需计入主食总量。</x:v>
      </x:c>
      <x:c r="L10" s="48" t="str">
        <x:v>可换玉米/山药。</x:v>
      </x:c>
      <x:c r="M10" s="68" t="str">
        <x:v>肉鱼豆腐蔬果按烹调前可食部重量</x:v>
      </x:c>
      <x:c r="N10" s="68" t="str">
        <x:v>组件scale必须由Ingredient Master逐食材执行化后判定；只允许列出的合法scale，禁止突破任一食材min/max/step。</x:v>
      </x:c>
      <x:c r="O10" s="68" t="str">
        <x:v>0.5×base</x:v>
      </x:c>
      <x:c r="P10" s="68" t="str">
        <x:v>1.5×base</x:v>
      </x:c>
      <x:c r="Q10" s="68" t="str">
        <x:v>0.25×base</x:v>
      </x:c>
      <x:c r="R10" s="68" t="str">
        <x:v>MDT原则确认</x:v>
      </x:c>
      <x:c r="S10" s="68" t="str"/>
      <x:c r="T10" s="68" t="str"/>
      <x:c r="U10" s="68" t="str">
        <x:v>可用</x:v>
      </x:c>
      <x:c r="V10" s="68" t="str">
        <x:v>可用</x:v>
      </x:c>
      <x:c r="W10" s="68" t="str">
        <x:v>按耐受控制单餐体积；E型不因追求“健康粗粮”牺牲完成率。</x:v>
      </x:c>
      <x:c r="X10" s="41" t="str">
        <x:v>确认</x:v>
      </x:c>
      <x:c r="Y10" s="41" t="str">
        <x:v>已按Ingredient Master单一事实来源重算营养；旧组件营养值仅保留历史追溯。</x:v>
      </x:c>
      <x:c r="Z10" s="41" t="str"/>
      <x:c r="AA10" s="41" t="str"/>
      <x:c r="AB10" s="41" t="n">
        <x:v>8</x:v>
      </x:c>
      <x:c r="AC10" s="72" t="str">
        <x:v>LINEAR_WITH_EXECUTION_ROUNDING</x:v>
      </x:c>
      <x:c r="AD10" s="72" t="str">
        <x:v>最终医生/患者方案必须显示g/ml/个（复合菜展开主要食材）；component_portion_scale仅后台保留。</x:v>
      </x:c>
      <x:c r="AE10" s="72" t="str">
        <x:v>候选规则（需MDT确认）</x:v>
      </x:c>
      <x:c r="AF10" s="72" t="str">
        <x:v>SRC01+SRC03+现有FOOD base recipe</x:v>
      </x:c>
      <x:c r="AG10" s="72" t="str">
        <x:v>https://www.cnssci.net/uploads/allimg/20240607/1-24060G41PM29.pdf ; https://dg.cnsoc.org/article/04/J4-AsD_DR3OLQMnHG0-jZA.html</x:v>
      </x:c>
      <x:c r="AH10" s="30" t="str">
        <x:v>ACTIVE_RECALCULATED</x:v>
      </x:c>
      <x:c r="AI10" s="30" t="str"/>
      <x:c r="AJ10" s="30" t="str">
        <x:v>0.5,0.75,1,1.25,1.5</x:v>
      </x:c>
      <x:c r="AK10" s="30" t="str">
        <x:v>PASS</x:v>
      </x:c>
      <x:c r="AL10" s="30" t="str">
        <x:v>ACTIVE_FOR_EXACT</x:v>
      </x:c>
      <x:c r="AM10" s="30" t="n">
        <x:v>154.9</x:v>
      </x:c>
      <x:c r="AN10" s="30" t="n">
        <x:v>1.6</x:v>
      </x:c>
      <x:c r="AO10" s="30" t="n">
        <x:v>37</x:v>
      </x:c>
      <x:c r="AP10" s="30" t="n">
        <x:v>0.3</x:v>
      </x:c>
    </x:row>
    <x:row r="11">
      <x:c r="A11" s="30" t="str">
        <x:v>C008</x:v>
      </x:c>
      <x:c r="B11" s="30" t="str">
        <x:v>荞麦面基础份</x:v>
      </x:c>
      <x:c r="C11" s="30" t="str">
        <x:v>staple</x:v>
      </x:c>
      <x:c r="D11" s="30" t="str">
        <x:v>whole_grain</x:v>
      </x:c>
      <x:c r="E11" s="48" t="str">
        <x:v>是</x:v>
      </x:c>
      <x:c r="F11" s="48" t="str">
        <x:v>荞麦面干60g</x:v>
      </x:c>
      <x:c r="G11" s="48" t="n">
        <x:v>204</x:v>
      </x:c>
      <x:c r="H11" s="48" t="n">
        <x:v>7.2</x:v>
      </x:c>
      <x:c r="I11" s="48" t="n">
        <x:v>40.8</x:v>
      </x:c>
      <x:c r="J11" s="48" t="n">
        <x:v>1.5</x:v>
      </x:c>
      <x:c r="K11" s="48" t="str">
        <x:v>注意面条成品钠含量。</x:v>
      </x:c>
      <x:c r="L11" s="48" t="str">
        <x:v>可换杂粮饭/全麦馒头。</x:v>
      </x:c>
      <x:c r="M11" s="68" t="str">
        <x:v>谷物/面粉/干面按干/生重</x:v>
      </x:c>
      <x:c r="N11" s="68" t="str">
        <x:v>组件scale必须由Ingredient Master逐食材执行化后判定；只允许列出的合法scale，禁止突破任一食材min/max/step。</x:v>
      </x:c>
      <x:c r="O11" s="68" t="str">
        <x:v>0.5×base</x:v>
      </x:c>
      <x:c r="P11" s="68" t="str">
        <x:v>1.25×base</x:v>
      </x:c>
      <x:c r="Q11" s="68" t="str">
        <x:v>0.25×base</x:v>
      </x:c>
      <x:c r="R11" s="68" t="str">
        <x:v>MDT原则确认</x:v>
      </x:c>
      <x:c r="S11" s="68" t="str"/>
      <x:c r="T11" s="68" t="str"/>
      <x:c r="U11" s="68" t="str">
        <x:v>可用</x:v>
      </x:c>
      <x:c r="V11" s="68" t="str">
        <x:v>可用</x:v>
      </x:c>
      <x:c r="W11" s="68" t="str">
        <x:v>按耐受控制单餐体积；E型不因追求“健康粗粮”牺牲完成率。</x:v>
      </x:c>
      <x:c r="X11" s="41" t="str">
        <x:v>规则确认，来源待补</x:v>
      </x:c>
      <x:c r="Y11" s="41" t="str">
        <x:v>份量/执行规则已确认；含未完成营养来源/产品/身份确认的基础食材，禁止用于EXACT营养闭合。</x:v>
      </x:c>
      <x:c r="Z11" s="41" t="str"/>
      <x:c r="AA11" s="41" t="str"/>
      <x:c r="AB11" s="41" t="n">
        <x:v>8</x:v>
      </x:c>
      <x:c r="AC11" s="72" t="str">
        <x:v>LINEAR_WITH_EXECUTION_ROUNDING</x:v>
      </x:c>
      <x:c r="AD11" s="72" t="str">
        <x:v>最终医生/患者方案必须显示g/ml/个（复合菜展开主要食材）；component_portion_scale仅后台保留。</x:v>
      </x:c>
      <x:c r="AE11" s="72" t="str">
        <x:v>候选规则（需MDT确认）</x:v>
      </x:c>
      <x:c r="AF11" s="72" t="str">
        <x:v>SRC01+SRC03+现有FOOD base recipe</x:v>
      </x:c>
      <x:c r="AG11" s="72" t="str">
        <x:v>https://www.cnssci.net/uploads/allimg/20240607/1-24060G41PM29.pdf ; https://dg.cnsoc.org/article/04/J4-AsD_DR3OLQMnHG0-jZA.html</x:v>
      </x:c>
      <x:c r="AH11" s="30" t="str">
        <x:v>NEEDS_SOURCE_RECALC</x:v>
      </x:c>
      <x:c r="AI11" s="30" t="str">
        <x:v>荞麦面干</x:v>
      </x:c>
      <x:c r="AJ11" s="30" t="str">
        <x:v>0.5,0.75,1,1.25</x:v>
      </x:c>
      <x:c r="AK11" s="30" t="str">
        <x:v>PASS</x:v>
      </x:c>
      <x:c r="AL11" s="30" t="str">
        <x:v>RULE_APPROVED_SOURCE_PENDING</x:v>
      </x:c>
      <x:c r="AM11" s="30" t="n">
        <x:v>204</x:v>
      </x:c>
      <x:c r="AN11" s="30" t="n">
        <x:v>7.2</x:v>
      </x:c>
      <x:c r="AO11" s="30" t="n">
        <x:v>40.8</x:v>
      </x:c>
      <x:c r="AP11" s="30" t="n">
        <x:v>1.5</x:v>
      </x:c>
    </x:row>
    <x:row r="12">
      <x:c r="A12" s="30" t="str">
        <x:v>C009</x:v>
      </x:c>
      <x:c r="B12" s="30" t="str">
        <x:v>小米粥基础份</x:v>
      </x:c>
      <x:c r="C12" s="30" t="str">
        <x:v>staple</x:v>
      </x:c>
      <x:c r="D12" s="56" t="str">
        <x:v>unknown</x:v>
      </x:c>
      <x:c r="E12" s="30" t="str">
        <x:v>是</x:v>
      </x:c>
      <x:c r="F12" s="30" t="str">
        <x:v>小米40g</x:v>
      </x:c>
      <x:c r="G12" s="30" t="n">
        <x:v>146.3</x:v>
      </x:c>
      <x:c r="H12" s="30" t="n">
        <x:v>3.6</x:v>
      </x:c>
      <x:c r="I12" s="30" t="n">
        <x:v>30</x:v>
      </x:c>
      <x:c r="J12" s="30" t="n">
        <x:v>1.2</x:v>
      </x:c>
      <x:c r="K12" s="30" t="str">
        <x:v>粥类消化快，糖代谢异常者应搭配蛋白和蔬菜。</x:v>
      </x:c>
      <x:c r="L12" s="30" t="str">
        <x:v>可换燕麦粥。</x:v>
      </x:c>
      <x:c r="M12" s="69" t="str">
        <x:v>谷物/面粉/干面按干/生重</x:v>
      </x:c>
      <x:c r="N12" s="69" t="str">
        <x:v>组件scale必须由Ingredient Master逐食材执行化后判定；只允许列出的合法scale，禁止突破任一食材min/max/step。</x:v>
      </x:c>
      <x:c r="O12" s="69" t="str">
        <x:v>0.5×base</x:v>
      </x:c>
      <x:c r="P12" s="69" t="str">
        <x:v>1.5×base</x:v>
      </x:c>
      <x:c r="Q12" s="69" t="str">
        <x:v>0.25×base</x:v>
      </x:c>
      <x:c r="R12" s="69" t="str">
        <x:v>MDT原则确认</x:v>
      </x:c>
      <x:c r="S12" s="69" t="str"/>
      <x:c r="T12" s="70" t="str">
        <x:v>whole_grain_porridge</x:v>
      </x:c>
      <x:c r="U12" s="68" t="str">
        <x:v>推荐</x:v>
      </x:c>
      <x:c r="V12" s="68" t="str">
        <x:v>推荐</x:v>
      </x:c>
      <x:c r="W12" s="68" t="str">
        <x:v>E/D摄入不足时优先保证主食+主蛋白；粥/面包需避免单独低蛋白进食。</x:v>
      </x:c>
      <x:c r="X12" s="41" t="str">
        <x:v>确认</x:v>
      </x:c>
      <x:c r="Y12" s="41" t="str">
        <x:v>已按Ingredient Master单一事实来源重算营养；旧组件营养值仅保留历史追溯。</x:v>
      </x:c>
      <x:c r="Z12" s="41" t="str"/>
      <x:c r="AA12" s="41" t="str"/>
      <x:c r="AB12" s="41" t="n">
        <x:v>8</x:v>
      </x:c>
      <x:c r="AC12" s="72" t="str">
        <x:v>LINEAR_WITH_EXECUTION_ROUNDING</x:v>
      </x:c>
      <x:c r="AD12" s="72" t="str">
        <x:v>最终医生/患者方案必须显示g/ml/个（复合菜展开主要食材）；component_portion_scale仅后台保留。</x:v>
      </x:c>
      <x:c r="AE12" s="72" t="str">
        <x:v>候选规则（需MDT确认）</x:v>
      </x:c>
      <x:c r="AF12" s="72" t="str">
        <x:v>SRC01+SRC03+现有FOOD base recipe</x:v>
      </x:c>
      <x:c r="AG12" s="72" t="str">
        <x:v>https://www.cnssci.net/uploads/allimg/20240607/1-24060G41PM29.pdf ; https://dg.cnsoc.org/article/04/J4-AsD_DR3OLQMnHG0-jZA.html</x:v>
      </x:c>
      <x:c r="AH12" s="30" t="str">
        <x:v>ACTIVE_RECALCULATED</x:v>
      </x:c>
      <x:c r="AI12" s="30" t="str"/>
      <x:c r="AJ12" s="30" t="str">
        <x:v>0.5,0.75,1,1.25,1.5</x:v>
      </x:c>
      <x:c r="AK12" s="30" t="str">
        <x:v>PASS</x:v>
      </x:c>
      <x:c r="AL12" s="30" t="str">
        <x:v>ACTIVE_FOR_EXACT</x:v>
      </x:c>
      <x:c r="AM12" s="30" t="n">
        <x:v>146.3</x:v>
      </x:c>
      <x:c r="AN12" s="30" t="n">
        <x:v>3.6</x:v>
      </x:c>
      <x:c r="AO12" s="30" t="n">
        <x:v>30</x:v>
      </x:c>
      <x:c r="AP12" s="30" t="n">
        <x:v>1.2</x:v>
      </x:c>
    </x:row>
    <x:row r="13">
      <x:c r="A13" s="30" t="str">
        <x:v>C010</x:v>
      </x:c>
      <x:c r="B13" s="30" t="str">
        <x:v>红豆小米粥</x:v>
      </x:c>
      <x:c r="C13" s="30" t="str">
        <x:v>staple</x:v>
      </x:c>
      <x:c r="D13" s="56" t="str">
        <x:v>unknown</x:v>
      </x:c>
      <x:c r="E13" s="30" t="str">
        <x:v>是</x:v>
      </x:c>
      <x:c r="F13" s="30" t="str">
        <x:v>小米30g；赤小豆干10g</x:v>
      </x:c>
      <x:c r="G13" s="30" t="n">
        <x:v>142.6</x:v>
      </x:c>
      <x:c r="H13" s="30" t="n">
        <x:v>4.7</x:v>
      </x:c>
      <x:c r="I13" s="30" t="n">
        <x:v>28.9</x:v>
      </x:c>
      <x:c r="J13" s="30" t="n">
        <x:v>1</x:v>
      </x:c>
      <x:c r="K13" s="30" t="str">
        <x:v>胃肠胀气明显时减量或替换。</x:v>
      </x:c>
      <x:c r="L13" s="30" t="str">
        <x:v>可换燕麦/山药。</x:v>
      </x:c>
      <x:c r="M13" s="69" t="str">
        <x:v>谷物/面粉/干面按干/生重</x:v>
      </x:c>
      <x:c r="N13" s="69" t="str">
        <x:v>组件scale必须由Ingredient Master逐食材执行化后判定；只允许列出的合法scale，禁止突破任一食材min/max/step。</x:v>
      </x:c>
      <x:c r="O13" s="69" t="str">
        <x:v>0.5×base</x:v>
      </x:c>
      <x:c r="P13" s="69" t="str">
        <x:v>1.5×base</x:v>
      </x:c>
      <x:c r="Q13" s="69" t="str">
        <x:v>0.25×base</x:v>
      </x:c>
      <x:c r="R13" s="69" t="str">
        <x:v>MDT原则确认</x:v>
      </x:c>
      <x:c r="S13" s="69" t="str"/>
      <x:c r="T13" s="70" t="str">
        <x:v>whole_grain_legume_mixed</x:v>
      </x:c>
      <x:c r="U13" s="68" t="str">
        <x:v>可用</x:v>
      </x:c>
      <x:c r="V13" s="68" t="str">
        <x:v>条件可用</x:v>
      </x:c>
      <x:c r="W13" s="68" t="str">
        <x:v>早饱、恶心、胀气或消化耐受差时减少粗杂粮/鲜玉米，必要时换白米/软食。</x:v>
      </x:c>
      <x:c r="X13" s="41" t="str">
        <x:v>确认</x:v>
      </x:c>
      <x:c r="Y13" s="41" t="str">
        <x:v>已按Ingredient Master单一事实来源重算营养；旧组件营养值仅保留历史追溯。</x:v>
      </x:c>
      <x:c r="Z13" s="41" t="str"/>
      <x:c r="AA13" s="41" t="str"/>
      <x:c r="AB13" s="41" t="n">
        <x:v>8</x:v>
      </x:c>
      <x:c r="AC13" s="72" t="str">
        <x:v>LINEAR_WITH_EXECUTION_ROUNDING</x:v>
      </x:c>
      <x:c r="AD13" s="72" t="str">
        <x:v>最终医生/患者方案必须显示g/ml/个（复合菜展开主要食材）；component_portion_scale仅后台保留。</x:v>
      </x:c>
      <x:c r="AE13" s="72" t="str">
        <x:v>候选规则（需MDT确认）</x:v>
      </x:c>
      <x:c r="AF13" s="72" t="str">
        <x:v>SRC01+SRC03+现有FOOD base recipe</x:v>
      </x:c>
      <x:c r="AG13" s="72" t="str">
        <x:v>https://www.cnssci.net/uploads/allimg/20240607/1-24060G41PM29.pdf ; https://dg.cnsoc.org/article/04/J4-AsD_DR3OLQMnHG0-jZA.html</x:v>
      </x:c>
      <x:c r="AH13" s="30" t="str">
        <x:v>ACTIVE_RECALCULATED</x:v>
      </x:c>
      <x:c r="AI13" s="30" t="str"/>
      <x:c r="AJ13" s="30" t="str">
        <x:v>0.5,0.75,1,1.25,1.5</x:v>
      </x:c>
      <x:c r="AK13" s="30" t="str">
        <x:v>PASS</x:v>
      </x:c>
      <x:c r="AL13" s="30" t="str">
        <x:v>ACTIVE_FOR_EXACT</x:v>
      </x:c>
      <x:c r="AM13" s="30" t="n">
        <x:v>142.6</x:v>
      </x:c>
      <x:c r="AN13" s="30" t="n">
        <x:v>4.7</x:v>
      </x:c>
      <x:c r="AO13" s="30" t="n">
        <x:v>28.9</x:v>
      </x:c>
      <x:c r="AP13" s="30" t="n">
        <x:v>1</x:v>
      </x:c>
    </x:row>
    <x:row r="14">
      <x:c r="A14" s="30" t="str">
        <x:v>C011</x:v>
      </x:c>
      <x:c r="B14" s="30" t="str">
        <x:v>全麦面包基础份</x:v>
      </x:c>
      <x:c r="C14" s="30" t="str">
        <x:v>staple</x:v>
      </x:c>
      <x:c r="D14" s="30" t="str">
        <x:v>whole_grain</x:v>
      </x:c>
      <x:c r="E14" s="48" t="str">
        <x:v>是</x:v>
      </x:c>
      <x:c r="F14" s="48" t="str">
        <x:v>全麦面包70g</x:v>
      </x:c>
      <x:c r="G14" s="48" t="n">
        <x:v>172</x:v>
      </x:c>
      <x:c r="H14" s="48" t="n">
        <x:v>6.3</x:v>
      </x:c>
      <x:c r="I14" s="48" t="n">
        <x:v>28.7</x:v>
      </x:c>
      <x:c r="J14" s="48" t="n">
        <x:v>2.9</x:v>
      </x:c>
      <x:c r="K14" s="48" t="str">
        <x:v>商业面包钠、糖、脂肪差异大，需读取标签。</x:v>
      </x:c>
      <x:c r="L14" s="48" t="str">
        <x:v>可换全麦馒头。</x:v>
      </x:c>
      <x:c r="M14" s="68" t="str">
        <x:v>成品按可食净重</x:v>
      </x:c>
      <x:c r="N14" s="68" t="str">
        <x:v>组件scale必须由Ingredient Master逐食材执行化后判定；只允许列出的合法scale，禁止突破任一食材min/max/step。</x:v>
      </x:c>
      <x:c r="O14" s="68" t="str">
        <x:v>0.5×base</x:v>
      </x:c>
      <x:c r="P14" s="68" t="str">
        <x:v>1.25×base</x:v>
      </x:c>
      <x:c r="Q14" s="68" t="str">
        <x:v>0.25×base</x:v>
      </x:c>
      <x:c r="R14" s="68" t="str">
        <x:v>MDT原则确认</x:v>
      </x:c>
      <x:c r="S14" s="68" t="str"/>
      <x:c r="T14" s="68" t="str"/>
      <x:c r="U14" s="68" t="str">
        <x:v>推荐</x:v>
      </x:c>
      <x:c r="V14" s="68" t="str">
        <x:v>推荐</x:v>
      </x:c>
      <x:c r="W14" s="68" t="str">
        <x:v>E/D摄入不足时优先保证主食+主蛋白；粥/面包需避免单独低蛋白进食。</x:v>
      </x:c>
      <x:c r="X14" s="41" t="str">
        <x:v>规则确认，来源待补</x:v>
      </x:c>
      <x:c r="Y14" s="41" t="str">
        <x:v>份量/执行规则已确认；含未完成营养来源/产品/身份确认的基础食材，禁止用于EXACT营养闭合。</x:v>
      </x:c>
      <x:c r="Z14" s="41" t="str"/>
      <x:c r="AA14" s="41" t="str"/>
      <x:c r="AB14" s="41" t="n">
        <x:v>8</x:v>
      </x:c>
      <x:c r="AC14" s="72" t="str">
        <x:v>LINEAR_WITH_EXECUTION_ROUNDING</x:v>
      </x:c>
      <x:c r="AD14" s="72" t="str">
        <x:v>最终医生/患者方案必须显示g/ml/个（复合菜展开主要食材）；component_portion_scale仅后台保留。</x:v>
      </x:c>
      <x:c r="AE14" s="72" t="str">
        <x:v>候选规则（需MDT确认）</x:v>
      </x:c>
      <x:c r="AF14" s="72" t="str">
        <x:v>SRC01+SRC03+现有FOOD base recipe</x:v>
      </x:c>
      <x:c r="AG14" s="72" t="str">
        <x:v>https://www.cnssci.net/uploads/allimg/20240607/1-24060G41PM29.pdf ; https://dg.cnsoc.org/article/04/J4-AsD_DR3OLQMnHG0-jZA.html</x:v>
      </x:c>
      <x:c r="AH14" s="30" t="str">
        <x:v>NEEDS_SOURCE_RECALC</x:v>
      </x:c>
      <x:c r="AI14" s="30" t="str">
        <x:v>全麦面包</x:v>
      </x:c>
      <x:c r="AJ14" s="30" t="str">
        <x:v>0.5,0.75,1,1.25</x:v>
      </x:c>
      <x:c r="AK14" s="30" t="str">
        <x:v>PASS</x:v>
      </x:c>
      <x:c r="AL14" s="30" t="str">
        <x:v>RULE_APPROVED_SOURCE_PENDING</x:v>
      </x:c>
      <x:c r="AM14" s="30" t="n">
        <x:v>172</x:v>
      </x:c>
      <x:c r="AN14" s="30" t="n">
        <x:v>6.3</x:v>
      </x:c>
      <x:c r="AO14" s="30" t="n">
        <x:v>28.7</x:v>
      </x:c>
      <x:c r="AP14" s="30" t="n">
        <x:v>2.9</x:v>
      </x:c>
    </x:row>
    <x:row r="15">
      <x:c r="A15" s="30" t="str">
        <x:v>C012</x:v>
      </x:c>
      <x:c r="B15" s="30" t="str">
        <x:v>山药主食份</x:v>
      </x:c>
      <x:c r="C15" s="30" t="str">
        <x:v>staple</x:v>
      </x:c>
      <x:c r="D15" s="30" t="str">
        <x:v>tuber</x:v>
      </x:c>
      <x:c r="E15" s="48" t="str">
        <x:v>是</x:v>
      </x:c>
      <x:c r="F15" s="48" t="str">
        <x:v>山药200g</x:v>
      </x:c>
      <x:c r="G15" s="48" t="n">
        <x:v>116.2</x:v>
      </x:c>
      <x:c r="H15" s="48" t="n">
        <x:v>3.8</x:v>
      </x:c>
      <x:c r="I15" s="48" t="n">
        <x:v>24.8</x:v>
      </x:c>
      <x:c r="J15" s="48" t="n">
        <x:v>0.4</x:v>
      </x:c>
      <x:c r="K15" s="48" t="str">
        <x:v>能量较低，D/E型若需增加能量应搭配其他主食和蛋白。</x:v>
      </x:c>
      <x:c r="L15" s="48" t="str">
        <x:v>可换红薯/米饭。</x:v>
      </x:c>
      <x:c r="M15" s="68" t="str">
        <x:v>肉鱼豆腐蔬果按烹调前可食部重量</x:v>
      </x:c>
      <x:c r="N15" s="68" t="str">
        <x:v>组件scale必须由Ingredient Master逐食材执行化后判定；只允许列出的合法scale，禁止突破任一食材min/max/step。</x:v>
      </x:c>
      <x:c r="O15" s="68" t="str">
        <x:v>0.5×base</x:v>
      </x:c>
      <x:c r="P15" s="68" t="str">
        <x:v>1.25×base</x:v>
      </x:c>
      <x:c r="Q15" s="68" t="str">
        <x:v>0.25×base</x:v>
      </x:c>
      <x:c r="R15" s="68" t="str">
        <x:v>MDT原则确认</x:v>
      </x:c>
      <x:c r="S15" s="68" t="str"/>
      <x:c r="T15" s="68" t="str"/>
      <x:c r="U15" s="68" t="str">
        <x:v>可用</x:v>
      </x:c>
      <x:c r="V15" s="68" t="str">
        <x:v>可用</x:v>
      </x:c>
      <x:c r="W15" s="68" t="str">
        <x:v>按耐受控制单餐体积；E型不因追求“健康粗粮”牺牲完成率。</x:v>
      </x:c>
      <x:c r="X15" s="41" t="str">
        <x:v>确认</x:v>
      </x:c>
      <x:c r="Y15" s="41" t="str">
        <x:v>已按Ingredient Master单一事实来源重算营养；旧组件营养值仅保留历史追溯。</x:v>
      </x:c>
      <x:c r="Z15" s="41" t="str"/>
      <x:c r="AA15" s="41" t="str"/>
      <x:c r="AB15" s="41" t="n">
        <x:v>8</x:v>
      </x:c>
      <x:c r="AC15" s="72" t="str">
        <x:v>LINEAR_WITH_EXECUTION_ROUNDING</x:v>
      </x:c>
      <x:c r="AD15" s="72" t="str">
        <x:v>最终医生/患者方案必须显示g/ml/个（复合菜展开主要食材）；component_portion_scale仅后台保留。</x:v>
      </x:c>
      <x:c r="AE15" s="72" t="str">
        <x:v>候选规则（需MDT确认）</x:v>
      </x:c>
      <x:c r="AF15" s="72" t="str">
        <x:v>SRC01+SRC03+现有FOOD base recipe</x:v>
      </x:c>
      <x:c r="AG15" s="72" t="str">
        <x:v>https://www.cnssci.net/uploads/allimg/20240607/1-24060G41PM29.pdf ; https://dg.cnsoc.org/article/04/J4-AsD_DR3OLQMnHG0-jZA.html</x:v>
      </x:c>
      <x:c r="AH15" s="30" t="str">
        <x:v>ACTIVE_RECALCULATED</x:v>
      </x:c>
      <x:c r="AI15" s="30" t="str"/>
      <x:c r="AJ15" s="30" t="str">
        <x:v>0.5,0.75,1,1.25</x:v>
      </x:c>
      <x:c r="AK15" s="30" t="str">
        <x:v>PASS</x:v>
      </x:c>
      <x:c r="AL15" s="30" t="str">
        <x:v>ACTIVE_FOR_EXACT</x:v>
      </x:c>
      <x:c r="AM15" s="30" t="n">
        <x:v>116.2</x:v>
      </x:c>
      <x:c r="AN15" s="30" t="n">
        <x:v>3.8</x:v>
      </x:c>
      <x:c r="AO15" s="30" t="n">
        <x:v>24.8</x:v>
      </x:c>
      <x:c r="AP15" s="30" t="n">
        <x:v>0.4</x:v>
      </x:c>
    </x:row>
    <x:row r="16">
      <x:c r="A16" s="30" t="str">
        <x:v>P001</x:v>
      </x:c>
      <x:c r="B16" s="30" t="str">
        <x:v>清蒸鲈鱼</x:v>
      </x:c>
      <x:c r="C16" s="30" t="str">
        <x:v>protein</x:v>
      </x:c>
      <x:c r="D16" s="30" t="str">
        <x:v>fish</x:v>
      </x:c>
      <x:c r="E16" s="30" t="str">
        <x:v>否</x:v>
      </x:c>
      <x:c r="F16" s="30" t="str">
        <x:v>鲈鱼100g；植物油3g</x:v>
      </x:c>
      <x:c r="G16" s="30" t="n">
        <x:v>132.6</x:v>
      </x:c>
      <x:c r="H16" s="30" t="n">
        <x:v>18.6</x:v>
      </x:c>
      <x:c r="I16" s="30" t="n">
        <x:v>0</x:v>
      </x:c>
      <x:c r="J16" s="30" t="n">
        <x:v>6.4</x:v>
      </x:c>
      <x:c r="K16" s="30" t="str">
        <x:v>鱼类过敏者禁用；严重肾病蛋白目标另行评估。</x:v>
      </x:c>
      <x:c r="L16" s="30" t="str">
        <x:v>换鸡胸肉P003/豆腐P008。</x:v>
      </x:c>
      <x:c r="M16" s="69" t="str">
        <x:v>肉鱼豆腐蔬果按烹调前可食部重量；烹调油按实际加入量</x:v>
      </x:c>
      <x:c r="N16" s="69" t="str">
        <x:v>组件scale必须由Ingredient Master逐食材执行化后判定；只允许列出的合法scale，禁止突破任一食材min/max/step。</x:v>
      </x:c>
      <x:c r="O16" s="69" t="str">
        <x:v>0.5×base</x:v>
      </x:c>
      <x:c r="P16" s="69" t="str">
        <x:v>1.5×base</x:v>
      </x:c>
      <x:c r="Q16" s="69" t="str">
        <x:v>0.25×base</x:v>
      </x:c>
      <x:c r="R16" s="69" t="str">
        <x:v>MDT原则确认</x:v>
      </x:c>
      <x:c r="S16" s="69" t="str"/>
      <x:c r="T16" s="69" t="str"/>
      <x:c r="U16" s="69" t="str">
        <x:v>推荐</x:v>
      </x:c>
      <x:c r="V16" s="69" t="str">
        <x:v>推荐</x:v>
      </x:c>
      <x:c r="W16" s="69" t="str">
        <x:v>作为主蛋白候选；具体总量服从蛋白目标、肾功能/尿酸/耐受等临床修饰。</x:v>
      </x:c>
      <x:c r="X16" s="41" t="str">
        <x:v>确认</x:v>
      </x:c>
      <x:c r="Y16" s="41" t="str">
        <x:v>已按Ingredient Master单一事实来源重算营养；旧组件营养值仅保留历史追溯。</x:v>
      </x:c>
      <x:c r="Z16" s="41" t="str"/>
      <x:c r="AA16" s="41" t="str"/>
      <x:c r="AB16" s="41" t="n">
        <x:v>9</x:v>
      </x:c>
      <x:c r="AC16" s="72" t="str">
        <x:v>LINEAR_WITH_EXECUTION_ROUNDING</x:v>
      </x:c>
      <x:c r="AD16" s="72" t="str">
        <x:v>最终医生/患者方案必须显示g/ml/个（复合菜展开主要食材）；component_portion_scale仅后台保留。</x:v>
      </x:c>
      <x:c r="AE16" s="72" t="str">
        <x:v>候选规则（需MDT确认）</x:v>
      </x:c>
      <x:c r="AF16" s="72" t="str">
        <x:v>SRC01+SRC03+现有FOOD base recipe+SRC05/SRC06（围术期覆盖）</x:v>
      </x:c>
      <x:c r="AG16" s="72" t="str">
        <x:v>https://www.cnssci.net/uploads/allimg/20240607/1-24060G41PM29.pdf ; https://dg.cnsoc.org/article/04/J4-AsD_DR3OLQMnHG0-jZA.html</x:v>
      </x:c>
      <x:c r="AH16" s="30" t="str">
        <x:v>ACTIVE_RECALCULATED</x:v>
      </x:c>
      <x:c r="AI16" s="30" t="str"/>
      <x:c r="AJ16" s="30" t="str">
        <x:v>0.5,0.75,1,1.25,1.5</x:v>
      </x:c>
      <x:c r="AK16" s="30" t="str">
        <x:v>PASS</x:v>
      </x:c>
      <x:c r="AL16" s="30" t="str">
        <x:v>ACTIVE_FOR_EXACT</x:v>
      </x:c>
      <x:c r="AM16" s="30" t="n">
        <x:v>132.6</x:v>
      </x:c>
      <x:c r="AN16" s="30" t="n">
        <x:v>18.6</x:v>
      </x:c>
      <x:c r="AO16" s="30" t="n">
        <x:v>0</x:v>
      </x:c>
      <x:c r="AP16" s="30" t="n">
        <x:v>6.4</x:v>
      </x:c>
    </x:row>
    <x:row r="17">
      <x:c r="A17" s="30" t="str">
        <x:v>P002</x:v>
      </x:c>
      <x:c r="B17" s="30" t="str">
        <x:v>清蒸鳕鱼</x:v>
      </x:c>
      <x:c r="C17" s="30" t="str">
        <x:v>protein</x:v>
      </x:c>
      <x:c r="D17" s="30" t="str">
        <x:v>fish</x:v>
      </x:c>
      <x:c r="E17" s="30" t="str">
        <x:v>否</x:v>
      </x:c>
      <x:c r="F17" s="30" t="str">
        <x:v>鳕鱼100g；植物油3g</x:v>
      </x:c>
      <x:c r="G17" s="30" t="n">
        <x:v>116.4</x:v>
      </x:c>
      <x:c r="H17" s="30" t="n">
        <x:v>20.4</x:v>
      </x:c>
      <x:c r="I17" s="30" t="n">
        <x:v>0.5</x:v>
      </x:c>
      <x:c r="J17" s="30" t="n">
        <x:v>3.5</x:v>
      </x:c>
      <x:c r="K17" s="30" t="str">
        <x:v>鱼类过敏者禁用。</x:v>
      </x:c>
      <x:c r="L17" s="30" t="str">
        <x:v>换鲈鱼/鸡肉。</x:v>
      </x:c>
      <x:c r="M17" s="69" t="str">
        <x:v>肉鱼豆腐蔬果按烹调前可食部重量；烹调油按实际加入量</x:v>
      </x:c>
      <x:c r="N17" s="69" t="str">
        <x:v>组件scale必须由Ingredient Master逐食材执行化后判定；只允许列出的合法scale，禁止突破任一食材min/max/step。</x:v>
      </x:c>
      <x:c r="O17" s="69" t="str">
        <x:v>0.5×base</x:v>
      </x:c>
      <x:c r="P17" s="69" t="str">
        <x:v>1.5×base</x:v>
      </x:c>
      <x:c r="Q17" s="69" t="str">
        <x:v>0.25×base</x:v>
      </x:c>
      <x:c r="R17" s="69" t="str">
        <x:v>MDT原则确认</x:v>
      </x:c>
      <x:c r="S17" s="69" t="str"/>
      <x:c r="T17" s="69" t="str"/>
      <x:c r="U17" s="69" t="str">
        <x:v>推荐</x:v>
      </x:c>
      <x:c r="V17" s="69" t="str">
        <x:v>推荐</x:v>
      </x:c>
      <x:c r="W17" s="69" t="str">
        <x:v>作为主蛋白候选；具体总量服从蛋白目标、肾功能/尿酸/耐受等临床修饰。</x:v>
      </x:c>
      <x:c r="X17" s="41" t="str">
        <x:v>确认</x:v>
      </x:c>
      <x:c r="Y17" s="41" t="str">
        <x:v>已按Ingredient Master单一事实来源重算营养；旧组件营养值仅保留历史追溯。</x:v>
      </x:c>
      <x:c r="Z17" s="41" t="str"/>
      <x:c r="AA17" s="41" t="str"/>
      <x:c r="AB17" s="41" t="n">
        <x:v>9</x:v>
      </x:c>
      <x:c r="AC17" s="72" t="str">
        <x:v>LINEAR_WITH_EXECUTION_ROUNDING</x:v>
      </x:c>
      <x:c r="AD17" s="72" t="str">
        <x:v>最终医生/患者方案必须显示g/ml/个（复合菜展开主要食材）；component_portion_scale仅后台保留。</x:v>
      </x:c>
      <x:c r="AE17" s="72" t="str">
        <x:v>候选规则（需MDT确认）</x:v>
      </x:c>
      <x:c r="AF17" s="72" t="str">
        <x:v>SRC01+SRC03+现有FOOD base recipe+SRC05/SRC06（围术期覆盖）</x:v>
      </x:c>
      <x:c r="AG17" s="72" t="str">
        <x:v>https://www.cnssci.net/uploads/allimg/20240607/1-24060G41PM29.pdf ; https://dg.cnsoc.org/article/04/J4-AsD_DR3OLQMnHG0-jZA.html</x:v>
      </x:c>
      <x:c r="AH17" s="30" t="str">
        <x:v>ACTIVE_RECALCULATED</x:v>
      </x:c>
      <x:c r="AI17" s="30" t="str"/>
      <x:c r="AJ17" s="30" t="str">
        <x:v>0.5,0.75,1,1.25,1.5</x:v>
      </x:c>
      <x:c r="AK17" s="30" t="str">
        <x:v>PASS</x:v>
      </x:c>
      <x:c r="AL17" s="30" t="str">
        <x:v>ACTIVE_FOR_EXACT</x:v>
      </x:c>
      <x:c r="AM17" s="30" t="n">
        <x:v>116.4</x:v>
      </x:c>
      <x:c r="AN17" s="30" t="n">
        <x:v>20.4</x:v>
      </x:c>
      <x:c r="AO17" s="30" t="n">
        <x:v>0.5</x:v>
      </x:c>
      <x:c r="AP17" s="30" t="n">
        <x:v>3.5</x:v>
      </x:c>
    </x:row>
    <x:row r="18">
      <x:c r="A18" s="30" t="str">
        <x:v>P003</x:v>
      </x:c>
      <x:c r="B18" s="30" t="str">
        <x:v>香草/葱姜鸡胸</x:v>
      </x:c>
      <x:c r="C18" s="30" t="str">
        <x:v>protein</x:v>
      </x:c>
      <x:c r="D18" s="30" t="str">
        <x:v>poultry</x:v>
      </x:c>
      <x:c r="E18" s="30" t="str">
        <x:v>否</x:v>
      </x:c>
      <x:c r="F18" s="30" t="str">
        <x:v>鸡胸肉100g；植物油5g</x:v>
      </x:c>
      <x:c r="G18" s="30" t="n">
        <x:v>178.1</x:v>
      </x:c>
      <x:c r="H18" s="30" t="n">
        <x:v>19.4</x:v>
      </x:c>
      <x:c r="I18" s="30" t="n">
        <x:v>2.5</x:v>
      </x:c>
      <x:c r="J18" s="30" t="n">
        <x:v>10</x:v>
      </x:c>
      <x:c r="K18" s="30" t="str">
        <x:v>咀嚼困难者切碎或改软烂烹饪。</x:v>
      </x:c>
      <x:c r="L18" s="30" t="str">
        <x:v>换鸡腿肉/鱼/豆腐。</x:v>
      </x:c>
      <x:c r="M18" s="69" t="str">
        <x:v>肉鱼豆腐蔬果按烹调前可食部重量；烹调油按实际加入量</x:v>
      </x:c>
      <x:c r="N18" s="69" t="str">
        <x:v>组件scale必须由Ingredient Master逐食材执行化后判定；只允许列出的合法scale，禁止突破任一食材min/max/step。</x:v>
      </x:c>
      <x:c r="O18" s="69" t="str">
        <x:v>0.5×base</x:v>
      </x:c>
      <x:c r="P18" s="69" t="str">
        <x:v>1.5×base</x:v>
      </x:c>
      <x:c r="Q18" s="69" t="str">
        <x:v>0.25×base</x:v>
      </x:c>
      <x:c r="R18" s="69" t="str">
        <x:v>MDT原则确认</x:v>
      </x:c>
      <x:c r="S18" s="69" t="str"/>
      <x:c r="T18" s="69" t="str"/>
      <x:c r="U18" s="69" t="str">
        <x:v>推荐</x:v>
      </x:c>
      <x:c r="V18" s="69" t="str">
        <x:v>推荐</x:v>
      </x:c>
      <x:c r="W18" s="69" t="str">
        <x:v>作为主蛋白候选；具体总量服从蛋白目标、肾功能/尿酸/耐受等临床修饰。</x:v>
      </x:c>
      <x:c r="X18" s="41" t="str">
        <x:v>确认</x:v>
      </x:c>
      <x:c r="Y18" s="41" t="str">
        <x:v>已按Ingredient Master单一事实来源重算营养；旧组件营养值仅保留历史追溯。</x:v>
      </x:c>
      <x:c r="Z18" s="41" t="str"/>
      <x:c r="AA18" s="41" t="str"/>
      <x:c r="AB18" s="41" t="n">
        <x:v>9</x:v>
      </x:c>
      <x:c r="AC18" s="72" t="str">
        <x:v>LINEAR_WITH_EXECUTION_ROUNDING</x:v>
      </x:c>
      <x:c r="AD18" s="72" t="str">
        <x:v>最终医生/患者方案必须显示g/ml/个（复合菜展开主要食材）；component_portion_scale仅后台保留。</x:v>
      </x:c>
      <x:c r="AE18" s="72" t="str">
        <x:v>候选规则（需MDT确认）</x:v>
      </x:c>
      <x:c r="AF18" s="72" t="str">
        <x:v>SRC01+SRC03+现有FOOD base recipe+SRC05/SRC06（围术期覆盖）</x:v>
      </x:c>
      <x:c r="AG18" s="72" t="str">
        <x:v>https://www.cnssci.net/uploads/allimg/20240607/1-24060G41PM29.pdf ; https://dg.cnsoc.org/article/04/J4-AsD_DR3OLQMnHG0-jZA.html</x:v>
      </x:c>
      <x:c r="AH18" s="30" t="str">
        <x:v>ACTIVE_RECALCULATED</x:v>
      </x:c>
      <x:c r="AI18" s="30" t="str"/>
      <x:c r="AJ18" s="30" t="str">
        <x:v>0.5,0.75,1,1.25,1.5</x:v>
      </x:c>
      <x:c r="AK18" s="30" t="str">
        <x:v>PASS</x:v>
      </x:c>
      <x:c r="AL18" s="30" t="str">
        <x:v>ACTIVE_FOR_EXACT</x:v>
      </x:c>
      <x:c r="AM18" s="30" t="n">
        <x:v>178.1</x:v>
      </x:c>
      <x:c r="AN18" s="30" t="n">
        <x:v>19.4</x:v>
      </x:c>
      <x:c r="AO18" s="30" t="n">
        <x:v>2.5</x:v>
      </x:c>
      <x:c r="AP18" s="30" t="n">
        <x:v>10</x:v>
      </x:c>
    </x:row>
    <x:row r="19">
      <x:c r="A19" s="30" t="str">
        <x:v>P004</x:v>
      </x:c>
      <x:c r="B19" s="30" t="str">
        <x:v>去皮鸡腿肉炖菇</x:v>
      </x:c>
      <x:c r="C19" s="30" t="str">
        <x:v>protein</x:v>
      </x:c>
      <x:c r="D19" s="30" t="str">
        <x:v>poultry</x:v>
      </x:c>
      <x:c r="E19" s="30" t="str">
        <x:v>否</x:v>
      </x:c>
      <x:c r="F19" s="30" t="str">
        <x:v>鸡腿肉去皮100g；香菇鲜80g；植物油4g</x:v>
      </x:c>
      <x:c r="G19" s="30" t="n">
        <x:v>203</x:v>
      </x:c>
      <x:c r="H19" s="30" t="n">
        <x:v>22</x:v>
      </x:c>
      <x:c r="I19" s="30" t="n">
        <x:v>4.2</x:v>
      </x:c>
      <x:c r="J19" s="30" t="n">
        <x:v>11.2</x:v>
      </x:c>
      <x:c r="K19" s="30" t="str">
        <x:v>脂肪控制严格者优先P003。</x:v>
      </x:c>
      <x:c r="L19" s="30" t="str">
        <x:v>换鸡胸肉/鱼。</x:v>
      </x:c>
      <x:c r="M19" s="69" t="str">
        <x:v>肉鱼豆腐蔬果按烹调前可食部重量；烹调油按实际加入量</x:v>
      </x:c>
      <x:c r="N19" s="69" t="str">
        <x:v>组件scale必须由Ingredient Master逐食材执行化后判定；只允许列出的合法scale，禁止突破任一食材min/max/step。</x:v>
      </x:c>
      <x:c r="O19" s="69" t="str">
        <x:v>0.5×base</x:v>
      </x:c>
      <x:c r="P19" s="69" t="str">
        <x:v>1.5×base</x:v>
      </x:c>
      <x:c r="Q19" s="69" t="str">
        <x:v>0.25×base</x:v>
      </x:c>
      <x:c r="R19" s="69" t="str">
        <x:v>MDT原则确认</x:v>
      </x:c>
      <x:c r="S19" s="69" t="str"/>
      <x:c r="T19" s="69" t="str"/>
      <x:c r="U19" s="69" t="str">
        <x:v>推荐</x:v>
      </x:c>
      <x:c r="V19" s="69" t="str">
        <x:v>推荐</x:v>
      </x:c>
      <x:c r="W19" s="69" t="str">
        <x:v>作为主蛋白候选；具体总量服从蛋白目标、肾功能/尿酸/耐受等临床修饰。</x:v>
      </x:c>
      <x:c r="X19" s="41" t="str">
        <x:v>规则确认，来源待补</x:v>
      </x:c>
      <x:c r="Y19" s="41" t="str">
        <x:v>份量/执行规则已确认；含未完成营养来源/产品/身份确认的基础食材，禁止用于EXACT营养闭合。</x:v>
      </x:c>
      <x:c r="Z19" s="41" t="str"/>
      <x:c r="AA19" s="41" t="str"/>
      <x:c r="AB19" s="41" t="n">
        <x:v>9</x:v>
      </x:c>
      <x:c r="AC19" s="72" t="str">
        <x:v>LINEAR_WITH_EXECUTION_ROUNDING</x:v>
      </x:c>
      <x:c r="AD19" s="72" t="str">
        <x:v>最终医生/患者方案必须显示g/ml/个（复合菜展开主要食材）；component_portion_scale仅后台保留。</x:v>
      </x:c>
      <x:c r="AE19" s="72" t="str">
        <x:v>候选规则（需MDT确认）</x:v>
      </x:c>
      <x:c r="AF19" s="72" t="str">
        <x:v>SRC01+SRC03+现有FOOD base recipe+SRC05/SRC06（围术期覆盖）</x:v>
      </x:c>
      <x:c r="AG19" s="72" t="str">
        <x:v>https://www.cnssci.net/uploads/allimg/20240607/1-24060G41PM29.pdf ; https://dg.cnsoc.org/article/04/J4-AsD_DR3OLQMnHG0-jZA.html</x:v>
      </x:c>
      <x:c r="AH19" s="30" t="str">
        <x:v>NEEDS_SOURCE_RECALC</x:v>
      </x:c>
      <x:c r="AI19" s="30" t="str">
        <x:v>鸡腿肉去皮</x:v>
      </x:c>
      <x:c r="AJ19" s="30" t="str">
        <x:v>0.5,0.75,1,1.25,1.5</x:v>
      </x:c>
      <x:c r="AK19" s="30" t="str">
        <x:v>PASS</x:v>
      </x:c>
      <x:c r="AL19" s="30" t="str">
        <x:v>RULE_APPROVED_SOURCE_PENDING</x:v>
      </x:c>
      <x:c r="AM19" s="30" t="n">
        <x:v>203</x:v>
      </x:c>
      <x:c r="AN19" s="30" t="n">
        <x:v>22</x:v>
      </x:c>
      <x:c r="AO19" s="30" t="n">
        <x:v>4.2</x:v>
      </x:c>
      <x:c r="AP19" s="30" t="n">
        <x:v>11.2</x:v>
      </x:c>
    </x:row>
    <x:row r="20">
      <x:c r="A20" s="30" t="str">
        <x:v>P005</x:v>
      </x:c>
      <x:c r="B20" s="30" t="str">
        <x:v>番茄炖瘦牛肉</x:v>
      </x:c>
      <x:c r="C20" s="30" t="str">
        <x:v>protein</x:v>
      </x:c>
      <x:c r="D20" s="30" t="str">
        <x:v>lean_meat</x:v>
      </x:c>
      <x:c r="E20" s="30" t="str">
        <x:v>否</x:v>
      </x:c>
      <x:c r="F20" s="30" t="str">
        <x:v>瘦牛肉80g；番茄150g；植物油5g</x:v>
      </x:c>
      <x:c r="G20" s="30" t="n">
        <x:v>161.7</x:v>
      </x:c>
      <x:c r="H20" s="30" t="n">
        <x:v>17.5</x:v>
      </x:c>
      <x:c r="I20" s="30" t="n">
        <x:v>7</x:v>
      </x:c>
      <x:c r="J20" s="30" t="n">
        <x:v>7.1</x:v>
      </x:c>
      <x:c r="K20" s="30" t="str">
        <x:v>高尿酸/痛风患者肉类总量及急性期策略需按医护规则。</x:v>
      </x:c>
      <x:c r="L20" s="30" t="str">
        <x:v>换鸡肉/豆腐。</x:v>
      </x:c>
      <x:c r="M20" s="69" t="str">
        <x:v>肉鱼豆腐蔬果按烹调前可食部重量；烹调油按实际加入量</x:v>
      </x:c>
      <x:c r="N20" s="69" t="str">
        <x:v>组件scale必须由Ingredient Master逐食材执行化后判定；只允许列出的合法scale，禁止突破任一食材min/max/step。</x:v>
      </x:c>
      <x:c r="O20" s="69" t="str">
        <x:v>0.5×base</x:v>
      </x:c>
      <x:c r="P20" s="69" t="str">
        <x:v>1.5×base</x:v>
      </x:c>
      <x:c r="Q20" s="69" t="str">
        <x:v>0.25×base</x:v>
      </x:c>
      <x:c r="R20" s="69" t="str">
        <x:v>MDT原则确认</x:v>
      </x:c>
      <x:c r="S20" s="69" t="str"/>
      <x:c r="T20" s="69" t="str"/>
      <x:c r="U20" s="69" t="str">
        <x:v>推荐</x:v>
      </x:c>
      <x:c r="V20" s="69" t="str">
        <x:v>推荐</x:v>
      </x:c>
      <x:c r="W20" s="69" t="str">
        <x:v>作为主蛋白候选；具体总量服从蛋白目标、肾功能/尿酸/耐受等临床修饰。</x:v>
      </x:c>
      <x:c r="X20" s="41" t="str">
        <x:v>确认</x:v>
      </x:c>
      <x:c r="Y20" s="41" t="str">
        <x:v>已按Ingredient Master单一事实来源重算营养；旧组件营养值仅保留历史追溯。</x:v>
      </x:c>
      <x:c r="Z20" s="41" t="str"/>
      <x:c r="AA20" s="41" t="str"/>
      <x:c r="AB20" s="41" t="n">
        <x:v>9</x:v>
      </x:c>
      <x:c r="AC20" s="72" t="str">
        <x:v>LINEAR_WITH_EXECUTION_ROUNDING</x:v>
      </x:c>
      <x:c r="AD20" s="72" t="str">
        <x:v>最终医生/患者方案必须显示g/ml/个（复合菜展开主要食材）；component_portion_scale仅后台保留。</x:v>
      </x:c>
      <x:c r="AE20" s="72" t="str">
        <x:v>候选规则（需MDT确认）</x:v>
      </x:c>
      <x:c r="AF20" s="72" t="str">
        <x:v>SRC01+SRC03+现有FOOD base recipe+SRC05/SRC06（围术期覆盖）</x:v>
      </x:c>
      <x:c r="AG20" s="72" t="str">
        <x:v>https://www.cnssci.net/uploads/allimg/20240607/1-24060G41PM29.pdf ; https://dg.cnsoc.org/article/04/J4-AsD_DR3OLQMnHG0-jZA.html</x:v>
      </x:c>
      <x:c r="AH20" s="30" t="str">
        <x:v>ACTIVE_RECALCULATED</x:v>
      </x:c>
      <x:c r="AI20" s="30" t="str"/>
      <x:c r="AJ20" s="30" t="str">
        <x:v>0.5,0.75,1,1.25,1.5</x:v>
      </x:c>
      <x:c r="AK20" s="30" t="str">
        <x:v>PASS</x:v>
      </x:c>
      <x:c r="AL20" s="30" t="str">
        <x:v>ACTIVE_FOR_EXACT</x:v>
      </x:c>
      <x:c r="AM20" s="30" t="n">
        <x:v>161.7</x:v>
      </x:c>
      <x:c r="AN20" s="30" t="n">
        <x:v>17.5</x:v>
      </x:c>
      <x:c r="AO20" s="30" t="n">
        <x:v>7</x:v>
      </x:c>
      <x:c r="AP20" s="30" t="n">
        <x:v>7.1</x:v>
      </x:c>
    </x:row>
    <x:row r="21">
      <x:c r="A21" s="30" t="str">
        <x:v>P006</x:v>
      </x:c>
      <x:c r="B21" s="30" t="str">
        <x:v>芹菜木耳里脊</x:v>
      </x:c>
      <x:c r="C21" s="30" t="str">
        <x:v>protein</x:v>
      </x:c>
      <x:c r="D21" s="30" t="str">
        <x:v>lean_meat</x:v>
      </x:c>
      <x:c r="E21" s="30" t="str">
        <x:v>否</x:v>
      </x:c>
      <x:c r="F21" s="30" t="str">
        <x:v>猪里脊80g；芹菜100g；木耳鲜50g；植物油5g</x:v>
      </x:c>
      <x:c r="G21" s="30" t="n">
        <x:v>190</x:v>
      </x:c>
      <x:c r="H21" s="30" t="n">
        <x:v>17.7</x:v>
      </x:c>
      <x:c r="I21" s="30" t="n">
        <x:v>6.9</x:v>
      </x:c>
      <x:c r="J21" s="30" t="n">
        <x:v>10.2</x:v>
      </x:c>
      <x:c r="K21" s="30" t="str">
        <x:v>高血压者避免酱油/蚝油过量。</x:v>
      </x:c>
      <x:c r="L21" s="30" t="str">
        <x:v>换鸡胸/虾仁。</x:v>
      </x:c>
      <x:c r="M21" s="69" t="str">
        <x:v>肉鱼豆腐蔬果按烹调前可食部重量；烹调油按实际加入量</x:v>
      </x:c>
      <x:c r="N21" s="69" t="str">
        <x:v>组件scale必须由Ingredient Master逐食材执行化后判定；只允许列出的合法scale，禁止突破任一食材min/max/step。</x:v>
      </x:c>
      <x:c r="O21" s="69" t="str">
        <x:v>0.5×base</x:v>
      </x:c>
      <x:c r="P21" s="69" t="str">
        <x:v>1.5×base</x:v>
      </x:c>
      <x:c r="Q21" s="69" t="str">
        <x:v>0.25×base</x:v>
      </x:c>
      <x:c r="R21" s="69" t="str">
        <x:v>MDT原则确认</x:v>
      </x:c>
      <x:c r="S21" s="69" t="str"/>
      <x:c r="T21" s="69" t="str"/>
      <x:c r="U21" s="69" t="str">
        <x:v>推荐</x:v>
      </x:c>
      <x:c r="V21" s="69" t="str">
        <x:v>推荐</x:v>
      </x:c>
      <x:c r="W21" s="69" t="str">
        <x:v>作为主蛋白候选；具体总量服从蛋白目标、肾功能/尿酸/耐受等临床修饰。</x:v>
      </x:c>
      <x:c r="X21" s="41" t="str">
        <x:v>规则确认，来源待补</x:v>
      </x:c>
      <x:c r="Y21" s="41" t="str">
        <x:v>份量/执行规则已确认；含未完成营养来源/产品/身份确认的基础食材，禁止用于EXACT营养闭合。</x:v>
      </x:c>
      <x:c r="Z21" s="41" t="str"/>
      <x:c r="AA21" s="41" t="str"/>
      <x:c r="AB21" s="41" t="n">
        <x:v>9</x:v>
      </x:c>
      <x:c r="AC21" s="72" t="str">
        <x:v>LINEAR_WITH_EXECUTION_ROUNDING</x:v>
      </x:c>
      <x:c r="AD21" s="72" t="str">
        <x:v>最终医生/患者方案必须显示g/ml/个（复合菜展开主要食材）；component_portion_scale仅后台保留。</x:v>
      </x:c>
      <x:c r="AE21" s="72" t="str">
        <x:v>候选规则（需MDT确认）</x:v>
      </x:c>
      <x:c r="AF21" s="72" t="str">
        <x:v>SRC01+SRC03+现有FOOD base recipe+SRC05/SRC06（围术期覆盖）</x:v>
      </x:c>
      <x:c r="AG21" s="72" t="str">
        <x:v>https://www.cnssci.net/uploads/allimg/20240607/1-24060G41PM29.pdf ; https://dg.cnsoc.org/article/04/J4-AsD_DR3OLQMnHG0-jZA.html</x:v>
      </x:c>
      <x:c r="AH21" s="30" t="str">
        <x:v>NEEDS_SOURCE_RECALC</x:v>
      </x:c>
      <x:c r="AI21" s="30" t="str">
        <x:v>木耳鲜</x:v>
      </x:c>
      <x:c r="AJ21" s="30" t="str">
        <x:v>0.5,0.75,1,1.25,1.5</x:v>
      </x:c>
      <x:c r="AK21" s="30" t="str">
        <x:v>PASS</x:v>
      </x:c>
      <x:c r="AL21" s="30" t="str">
        <x:v>RULE_APPROVED_SOURCE_PENDING</x:v>
      </x:c>
      <x:c r="AM21" s="30" t="n">
        <x:v>199.3</x:v>
      </x:c>
      <x:c r="AN21" s="30" t="n">
        <x:v>17.7</x:v>
      </x:c>
      <x:c r="AO21" s="30" t="n">
        <x:v>7.5</x:v>
      </x:c>
      <x:c r="AP21" s="30" t="n">
        <x:v>11.5</x:v>
      </x:c>
    </x:row>
    <x:row r="22">
      <x:c r="A22" s="30" t="str">
        <x:v>P007</x:v>
      </x:c>
      <x:c r="B22" s="30" t="str">
        <x:v>虾仁蒸蛋</x:v>
      </x:c>
      <x:c r="C22" s="30" t="str">
        <x:v>protein</x:v>
      </x:c>
      <x:c r="D22" s="30" t="str">
        <x:v>fish</x:v>
      </x:c>
      <x:c r="E22" s="30" t="str">
        <x:v>否</x:v>
      </x:c>
      <x:c r="F22" s="30" t="str">
        <x:v>虾仁60g；鸡蛋50g；植物油2g</x:v>
      </x:c>
      <x:c r="G22" s="30" t="n">
        <x:v>149</x:v>
      </x:c>
      <x:c r="H22" s="30" t="n">
        <x:v>18.8</x:v>
      </x:c>
      <x:c r="I22" s="30" t="n">
        <x:v>1.5</x:v>
      </x:c>
      <x:c r="J22" s="30" t="n">
        <x:v>7.4</x:v>
      </x:c>
      <x:c r="K22" s="30" t="str">
        <x:v>海鲜过敏禁用；高尿酸患者按个体规则。</x:v>
      </x:c>
      <x:c r="L22" s="30" t="str">
        <x:v>换鸡蛋豆腐羹。</x:v>
      </x:c>
      <x:c r="M22" s="69" t="str">
        <x:v>肉鱼豆腐蔬果按烹调前可食部重量；鸡蛋按1个≈50g可食部；烹调油按实际加入量</x:v>
      </x:c>
      <x:c r="N22" s="69" t="str">
        <x:v>固定scale；仅允许1.0×base。若需改变总量，换组件或拆分/重构后重算。</x:v>
      </x:c>
      <x:c r="O22" s="69" t="str">
        <x:v>1×base</x:v>
      </x:c>
      <x:c r="P22" s="69" t="str">
        <x:v>1×base</x:v>
      </x:c>
      <x:c r="Q22" s="69" t="str">
        <x:v>固定</x:v>
      </x:c>
      <x:c r="R22" s="69" t="str">
        <x:v>MDT原则确认</x:v>
      </x:c>
      <x:c r="S22" s="69" t="str"/>
      <x:c r="T22" s="69" t="str"/>
      <x:c r="U22" s="69" t="str">
        <x:v>推荐</x:v>
      </x:c>
      <x:c r="V22" s="69" t="str">
        <x:v>推荐</x:v>
      </x:c>
      <x:c r="W22" s="69" t="str">
        <x:v>作为主蛋白候选；具体总量服从蛋白目标、肾功能/尿酸/耐受等临床修饰。</x:v>
      </x:c>
      <x:c r="X22" s="41" t="str">
        <x:v>规则确认，来源待补</x:v>
      </x:c>
      <x:c r="Y22" s="41" t="str">
        <x:v>份量/执行规则已确认；含未完成营养来源/产品/身份确认的基础食材，禁止用于EXACT营养闭合。</x:v>
      </x:c>
      <x:c r="Z22" s="41" t="str"/>
      <x:c r="AA22" s="41" t="str"/>
      <x:c r="AB22" s="41" t="n">
        <x:v>9</x:v>
      </x:c>
      <x:c r="AC22" s="72" t="str">
        <x:v>FIXED_COMPOSITE_NO_DIRECT_SCALING</x:v>
      </x:c>
      <x:c r="AD22" s="72" t="str">
        <x:v>最终医生/患者方案必须显示g/ml/个（复合菜展开主要食材）；component_portion_scale仅后台保留。</x:v>
      </x:c>
      <x:c r="AE22" s="72" t="str">
        <x:v>候选规则（需MDT确认）</x:v>
      </x:c>
      <x:c r="AF22" s="72" t="str">
        <x:v>SRC01+SRC03+现有FOOD base recipe+SRC05/SRC06（围术期覆盖）</x:v>
      </x:c>
      <x:c r="AG22" s="72" t="str">
        <x:v>https://www.cnssci.net/uploads/allimg/20240607/1-24060G41PM29.pdf ; https://dg.cnsoc.org/article/04/J4-AsD_DR3OLQMnHG0-jZA.html</x:v>
      </x:c>
      <x:c r="AH22" s="30" t="str">
        <x:v>NEEDS_SOURCE_RECALC</x:v>
      </x:c>
      <x:c r="AI22" s="30" t="str">
        <x:v>虾仁</x:v>
      </x:c>
      <x:c r="AJ22" s="30" t="str">
        <x:v>1</x:v>
      </x:c>
      <x:c r="AK22" s="30" t="str">
        <x:v>PASS</x:v>
      </x:c>
      <x:c r="AL22" s="30" t="str">
        <x:v>RULE_APPROVED_SOURCE_PENDING</x:v>
      </x:c>
      <x:c r="AM22" s="30" t="n">
        <x:v>137.4</x:v>
      </x:c>
      <x:c r="AN22" s="30" t="n">
        <x:v>16.7</x:v>
      </x:c>
      <x:c r="AO22" s="30" t="n">
        <x:v>2.3</x:v>
      </x:c>
      <x:c r="AP22" s="30" t="n">
        <x:v>6.8</x:v>
      </x:c>
    </x:row>
    <x:row r="23">
      <x:c r="A23" s="30" t="str">
        <x:v>P008</x:v>
      </x:c>
      <x:c r="B23" s="30" t="str">
        <x:v>香菇烧北豆腐</x:v>
      </x:c>
      <x:c r="C23" s="30" t="str">
        <x:v>protein</x:v>
      </x:c>
      <x:c r="D23" s="30" t="str">
        <x:v>soy</x:v>
      </x:c>
      <x:c r="E23" s="30" t="str">
        <x:v>否</x:v>
      </x:c>
      <x:c r="F23" s="30" t="str">
        <x:v>北豆腐150g；香菇鲜80g；植物油5g</x:v>
      </x:c>
      <x:c r="G23" s="30" t="n">
        <x:v>214.3</x:v>
      </x:c>
      <x:c r="H23" s="30" t="n">
        <x:v>20.1</x:v>
      </x:c>
      <x:c r="I23" s="30" t="n">
        <x:v>7.2</x:v>
      </x:c>
      <x:c r="J23" s="30" t="n">
        <x:v>12.4</x:v>
      </x:c>
      <x:c r="K23" s="30" t="str">
        <x:v>胃肠胀气者观察耐受。</x:v>
      </x:c>
      <x:c r="L23" s="30" t="str">
        <x:v>换蒸蛋/鱼。</x:v>
      </x:c>
      <x:c r="M23" s="69" t="str">
        <x:v>肉鱼豆腐蔬果按烹调前可食部重量；烹调油按实际加入量</x:v>
      </x:c>
      <x:c r="N23" s="69" t="str">
        <x:v>组件scale必须由Ingredient Master逐食材执行化后判定；只允许列出的合法scale，禁止突破任一食材min/max/step。</x:v>
      </x:c>
      <x:c r="O23" s="69" t="str">
        <x:v>0.5×base</x:v>
      </x:c>
      <x:c r="P23" s="69" t="str">
        <x:v>1.25×base</x:v>
      </x:c>
      <x:c r="Q23" s="69" t="str">
        <x:v>0.25×base</x:v>
      </x:c>
      <x:c r="R23" s="69" t="str">
        <x:v>MDT原则确认</x:v>
      </x:c>
      <x:c r="S23" s="69" t="str"/>
      <x:c r="T23" s="69" t="str"/>
      <x:c r="U23" s="69" t="str">
        <x:v>推荐</x:v>
      </x:c>
      <x:c r="V23" s="69" t="str">
        <x:v>条件可用</x:v>
      </x:c>
      <x:c r="W23" s="69" t="str">
        <x:v>豆制品蛋白密度较好；胀气明显时替换。</x:v>
      </x:c>
      <x:c r="X23" s="41" t="str">
        <x:v>确认</x:v>
      </x:c>
      <x:c r="Y23" s="41" t="str">
        <x:v>已按Ingredient Master单一事实来源重算营养；旧组件营养值仅保留历史追溯。</x:v>
      </x:c>
      <x:c r="Z23" s="41" t="str"/>
      <x:c r="AA23" s="41" t="str"/>
      <x:c r="AB23" s="41" t="n">
        <x:v>9</x:v>
      </x:c>
      <x:c r="AC23" s="72" t="str">
        <x:v>LINEAR_WITH_EXECUTION_ROUNDING</x:v>
      </x:c>
      <x:c r="AD23" s="72" t="str">
        <x:v>最终医生/患者方案必须显示g/ml/个（复合菜展开主要食材）；component_portion_scale仅后台保留。</x:v>
      </x:c>
      <x:c r="AE23" s="72" t="str">
        <x:v>候选规则（需MDT确认）</x:v>
      </x:c>
      <x:c r="AF23" s="72" t="str">
        <x:v>SRC01+SRC03+现有FOOD base recipe+SRC05/SRC06（围术期覆盖）</x:v>
      </x:c>
      <x:c r="AG23" s="72" t="str">
        <x:v>https://www.cnssci.net/uploads/allimg/20240607/1-24060G41PM29.pdf ; https://dg.cnsoc.org/article/04/J4-AsD_DR3OLQMnHG0-jZA.html</x:v>
      </x:c>
      <x:c r="AH23" s="30" t="str">
        <x:v>ACTIVE_RECALCULATED</x:v>
      </x:c>
      <x:c r="AI23" s="30" t="str"/>
      <x:c r="AJ23" s="30" t="str">
        <x:v>0.5,0.75,1,1.25</x:v>
      </x:c>
      <x:c r="AK23" s="30" t="str">
        <x:v>PASS</x:v>
      </x:c>
      <x:c r="AL23" s="30" t="str">
        <x:v>ACTIVE_FOR_EXACT</x:v>
      </x:c>
      <x:c r="AM23" s="30" t="n">
        <x:v>214.3</x:v>
      </x:c>
      <x:c r="AN23" s="30" t="n">
        <x:v>20.1</x:v>
      </x:c>
      <x:c r="AO23" s="30" t="n">
        <x:v>7.2</x:v>
      </x:c>
      <x:c r="AP23" s="30" t="n">
        <x:v>12.4</x:v>
      </x:c>
    </x:row>
    <x:row r="24">
      <x:c r="A24" s="30" t="str">
        <x:v>P009</x:v>
      </x:c>
      <x:c r="B24" s="30" t="str">
        <x:v>番茄炒蛋（少油版）</x:v>
      </x:c>
      <x:c r="C24" s="30" t="str">
        <x:v>protein</x:v>
      </x:c>
      <x:c r="D24" s="30" t="str">
        <x:v>egg</x:v>
      </x:c>
      <x:c r="E24" s="30" t="str">
        <x:v>否</x:v>
      </x:c>
      <x:c r="F24" s="30" t="str">
        <x:v>鸡蛋100g；番茄200g；植物油5g</x:v>
      </x:c>
      <x:c r="G24" s="30" t="n">
        <x:v>229.4</x:v>
      </x:c>
      <x:c r="H24" s="30" t="n">
        <x:v>15.1</x:v>
      </x:c>
      <x:c r="I24" s="30" t="n">
        <x:v>10.8</x:v>
      </x:c>
      <x:c r="J24" s="30" t="n">
        <x:v>14.2</x:v>
      </x:c>
      <x:c r="K24" s="30" t="str">
        <x:v>血脂异常者鸡蛋总量按整体膳食计划。</x:v>
      </x:c>
      <x:c r="L24" s="30" t="str">
        <x:v>换蒸蛋/豆腐。</x:v>
      </x:c>
      <x:c r="M24" s="69" t="str">
        <x:v>鸡蛋按1个≈50g可食部；肉鱼豆腐蔬果按烹调前可食部重量；烹调油按实际加入量</x:v>
      </x:c>
      <x:c r="N24" s="69" t="str">
        <x:v>组件scale必须由Ingredient Master逐食材执行化后判定；只允许列出的合法scale，禁止突破任一食材min/max/step。</x:v>
      </x:c>
      <x:c r="O24" s="69" t="str">
        <x:v>0.5×base</x:v>
      </x:c>
      <x:c r="P24" s="69" t="str">
        <x:v>1×base</x:v>
      </x:c>
      <x:c r="Q24" s="69" t="str">
        <x:v>0.5×base</x:v>
      </x:c>
      <x:c r="R24" s="69" t="str">
        <x:v>MDT原则确认</x:v>
      </x:c>
      <x:c r="S24" s="69" t="str"/>
      <x:c r="T24" s="69" t="str"/>
      <x:c r="U24" s="69" t="str">
        <x:v>推荐</x:v>
      </x:c>
      <x:c r="V24" s="69" t="str">
        <x:v>推荐</x:v>
      </x:c>
      <x:c r="W24" s="69" t="str">
        <x:v>作为主蛋白候选；具体总量服从蛋白目标、肾功能/尿酸/耐受等临床修饰。</x:v>
      </x:c>
      <x:c r="X24" s="41" t="str">
        <x:v>确认</x:v>
      </x:c>
      <x:c r="Y24" s="41" t="str">
        <x:v>已按Ingredient Master单一事实来源重算营养；旧组件营养值仅保留历史追溯。</x:v>
      </x:c>
      <x:c r="Z24" s="41" t="str"/>
      <x:c r="AA24" s="41" t="str"/>
      <x:c r="AB24" s="41" t="n">
        <x:v>9</x:v>
      </x:c>
      <x:c r="AC24" s="72" t="str">
        <x:v>DISCRETE_EGG_HALF_OR_FULL</x:v>
      </x:c>
      <x:c r="AD24" s="72" t="str">
        <x:v>最终医生/患者方案必须显示g/ml/个（复合菜展开主要食材）；component_portion_scale仅后台保留。</x:v>
      </x:c>
      <x:c r="AE24" s="72" t="str">
        <x:v>候选规则（需MDT确认）</x:v>
      </x:c>
      <x:c r="AF24" s="72" t="str">
        <x:v>SRC01+SRC03+现有FOOD base recipe+SRC05/SRC06（围术期覆盖）</x:v>
      </x:c>
      <x:c r="AG24" s="72" t="str">
        <x:v>https://www.cnssci.net/uploads/allimg/20240607/1-24060G41PM29.pdf ; https://dg.cnsoc.org/article/04/J4-AsD_DR3OLQMnHG0-jZA.html</x:v>
      </x:c>
      <x:c r="AH24" s="30" t="str">
        <x:v>ACTIVE_RECALCULATED</x:v>
      </x:c>
      <x:c r="AI24" s="30" t="str"/>
      <x:c r="AJ24" s="30" t="str">
        <x:v>0.5,1</x:v>
      </x:c>
      <x:c r="AK24" s="30" t="str">
        <x:v>PASS</x:v>
      </x:c>
      <x:c r="AL24" s="30" t="str">
        <x:v>ACTIVE_FOR_EXACT</x:v>
      </x:c>
      <x:c r="AM24" s="30" t="n">
        <x:v>229.4</x:v>
      </x:c>
      <x:c r="AN24" s="30" t="n">
        <x:v>15.1</x:v>
      </x:c>
      <x:c r="AO24" s="30" t="n">
        <x:v>10.8</x:v>
      </x:c>
      <x:c r="AP24" s="30" t="n">
        <x:v>14.2</x:v>
      </x:c>
    </x:row>
    <x:row r="25">
      <x:c r="A25" s="30" t="str">
        <x:v>P010</x:v>
      </x:c>
      <x:c r="B25" s="30" t="str">
        <x:v>西兰花虾仁</x:v>
      </x:c>
      <x:c r="C25" s="30" t="str">
        <x:v>protein</x:v>
      </x:c>
      <x:c r="D25" s="30" t="str">
        <x:v>fish</x:v>
      </x:c>
      <x:c r="E25" s="30" t="str">
        <x:v>否</x:v>
      </x:c>
      <x:c r="F25" s="30" t="str">
        <x:v>虾仁80g；西兰花150g；植物油5g</x:v>
      </x:c>
      <x:c r="G25" s="30" t="n">
        <x:v>178</x:v>
      </x:c>
      <x:c r="H25" s="30" t="n">
        <x:v>22.4</x:v>
      </x:c>
      <x:c r="I25" s="30" t="n">
        <x:v>6.6</x:v>
      </x:c>
      <x:c r="J25" s="30" t="n">
        <x:v>7.3</x:v>
      </x:c>
      <x:c r="K25" s="30" t="str">
        <x:v>海鲜过敏禁用。</x:v>
      </x:c>
      <x:c r="L25" s="30" t="str">
        <x:v>换鸡胸西兰花。</x:v>
      </x:c>
      <x:c r="M25" s="69" t="str">
        <x:v>肉鱼豆腐蔬果按烹调前可食部重量；烹调油按实际加入量</x:v>
      </x:c>
      <x:c r="N25" s="69" t="str">
        <x:v>组件scale必须由Ingredient Master逐食材执行化后判定；只允许列出的合法scale，禁止突破任一食材min/max/step。</x:v>
      </x:c>
      <x:c r="O25" s="69" t="str">
        <x:v>0.5×base</x:v>
      </x:c>
      <x:c r="P25" s="69" t="str">
        <x:v>1.5×base</x:v>
      </x:c>
      <x:c r="Q25" s="69" t="str">
        <x:v>0.25×base</x:v>
      </x:c>
      <x:c r="R25" s="69" t="str">
        <x:v>MDT原则确认</x:v>
      </x:c>
      <x:c r="S25" s="69" t="str"/>
      <x:c r="T25" s="69" t="str"/>
      <x:c r="U25" s="69" t="str">
        <x:v>推荐</x:v>
      </x:c>
      <x:c r="V25" s="69" t="str">
        <x:v>推荐</x:v>
      </x:c>
      <x:c r="W25" s="69" t="str">
        <x:v>作为主蛋白候选；具体总量服从蛋白目标、肾功能/尿酸/耐受等临床修饰。</x:v>
      </x:c>
      <x:c r="X25" s="41" t="str">
        <x:v>规则确认，来源待补</x:v>
      </x:c>
      <x:c r="Y25" s="41" t="str">
        <x:v>份量/执行规则已确认；含未完成营养来源/产品/身份确认的基础食材，禁止用于EXACT营养闭合。</x:v>
      </x:c>
      <x:c r="Z25" s="41" t="str"/>
      <x:c r="AA25" s="41" t="str"/>
      <x:c r="AB25" s="41" t="n">
        <x:v>9</x:v>
      </x:c>
      <x:c r="AC25" s="72" t="str">
        <x:v>LINEAR_WITH_EXECUTION_ROUNDING</x:v>
      </x:c>
      <x:c r="AD25" s="72" t="str">
        <x:v>最终医生/患者方案必须显示g/ml/个（复合菜展开主要食材）；component_portion_scale仅后台保留。</x:v>
      </x:c>
      <x:c r="AE25" s="72" t="str">
        <x:v>候选规则（需MDT确认）</x:v>
      </x:c>
      <x:c r="AF25" s="72" t="str">
        <x:v>SRC01+SRC03+现有FOOD base recipe+SRC05/SRC06（围术期覆盖）</x:v>
      </x:c>
      <x:c r="AG25" s="72" t="str">
        <x:v>https://www.cnssci.net/uploads/allimg/20240607/1-24060G41PM29.pdf ; https://dg.cnsoc.org/article/04/J4-AsD_DR3OLQMnHG0-jZA.html</x:v>
      </x:c>
      <x:c r="AH25" s="30" t="str">
        <x:v>NEEDS_SOURCE_RECALC</x:v>
      </x:c>
      <x:c r="AI25" s="30" t="str">
        <x:v>虾仁</x:v>
      </x:c>
      <x:c r="AJ25" s="30" t="str">
        <x:v>0.5,0.75,1,1.25,1.5</x:v>
      </x:c>
      <x:c r="AK25" s="30" t="str">
        <x:v>PASS</x:v>
      </x:c>
      <x:c r="AL25" s="30" t="str">
        <x:v>RULE_APPROVED_SOURCE_PENDING</x:v>
      </x:c>
      <x:c r="AM25" s="30" t="n">
        <x:v>162.8</x:v>
      </x:c>
      <x:c r="AN25" s="30" t="n">
        <x:v>19.6</x:v>
      </x:c>
      <x:c r="AO25" s="30" t="n">
        <x:v>7.7</x:v>
      </x:c>
      <x:c r="AP25" s="30" t="n">
        <x:v>6.4</x:v>
      </x:c>
    </x:row>
    <x:row r="26">
      <x:c r="A26" s="30" t="str">
        <x:v>P011</x:v>
      </x:c>
      <x:c r="B26" s="30" t="str">
        <x:v>鸡胸彩椒</x:v>
      </x:c>
      <x:c r="C26" s="30" t="str">
        <x:v>protein</x:v>
      </x:c>
      <x:c r="D26" s="30" t="str">
        <x:v>poultry</x:v>
      </x:c>
      <x:c r="E26" s="30" t="str">
        <x:v>否</x:v>
      </x:c>
      <x:c r="F26" s="30" t="str">
        <x:v>鸡胸肉80g；彩椒150g；植物油5g</x:v>
      </x:c>
      <x:c r="G26" s="30" t="n">
        <x:v>190.6</x:v>
      </x:c>
      <x:c r="H26" s="30" t="n">
        <x:v>17.5</x:v>
      </x:c>
      <x:c r="I26" s="30" t="n">
        <x:v>11.6</x:v>
      </x:c>
      <x:c r="J26" s="30" t="n">
        <x:v>9.3</x:v>
      </x:c>
      <x:c r="K26" s="30" t="str">
        <x:v>无特殊。</x:v>
      </x:c>
      <x:c r="L26" s="30" t="str">
        <x:v>鸡胸可换里脊/豆腐。</x:v>
      </x:c>
      <x:c r="M26" s="69" t="str">
        <x:v>肉鱼豆腐蔬果按烹调前可食部重量；烹调油按实际加入量</x:v>
      </x:c>
      <x:c r="N26" s="69" t="str">
        <x:v>组件scale必须由Ingredient Master逐食材执行化后判定；只允许列出的合法scale，禁止突破任一食材min/max/step。</x:v>
      </x:c>
      <x:c r="O26" s="69" t="str">
        <x:v>0.5×base</x:v>
      </x:c>
      <x:c r="P26" s="69" t="str">
        <x:v>1.5×base</x:v>
      </x:c>
      <x:c r="Q26" s="69" t="str">
        <x:v>0.25×base</x:v>
      </x:c>
      <x:c r="R26" s="69" t="str">
        <x:v>MDT原则确认</x:v>
      </x:c>
      <x:c r="S26" s="69" t="str"/>
      <x:c r="T26" s="69" t="str"/>
      <x:c r="U26" s="69" t="str">
        <x:v>推荐</x:v>
      </x:c>
      <x:c r="V26" s="69" t="str">
        <x:v>推荐</x:v>
      </x:c>
      <x:c r="W26" s="69" t="str">
        <x:v>作为主蛋白候选；具体总量服从蛋白目标、肾功能/尿酸/耐受等临床修饰。</x:v>
      </x:c>
      <x:c r="X26" s="41" t="str">
        <x:v>确认</x:v>
      </x:c>
      <x:c r="Y26" s="41" t="str">
        <x:v>已按Ingredient Master单一事实来源重算营养；旧组件营养值仅保留历史追溯。</x:v>
      </x:c>
      <x:c r="Z26" s="41" t="str"/>
      <x:c r="AA26" s="41" t="str"/>
      <x:c r="AB26" s="41" t="n">
        <x:v>9</x:v>
      </x:c>
      <x:c r="AC26" s="72" t="str">
        <x:v>LINEAR_WITH_EXECUTION_ROUNDING</x:v>
      </x:c>
      <x:c r="AD26" s="72" t="str">
        <x:v>最终医生/患者方案必须显示g/ml/个（复合菜展开主要食材）；component_portion_scale仅后台保留。</x:v>
      </x:c>
      <x:c r="AE26" s="72" t="str">
        <x:v>候选规则（需MDT确认）</x:v>
      </x:c>
      <x:c r="AF26" s="72" t="str">
        <x:v>SRC01+SRC03+现有FOOD base recipe+SRC05/SRC06（围术期覆盖）</x:v>
      </x:c>
      <x:c r="AG26" s="72" t="str">
        <x:v>https://www.cnssci.net/uploads/allimg/20240607/1-24060G41PM29.pdf ; https://dg.cnsoc.org/article/04/J4-AsD_DR3OLQMnHG0-jZA.html</x:v>
      </x:c>
      <x:c r="AH26" s="30" t="str">
        <x:v>ACTIVE_RECALCULATED</x:v>
      </x:c>
      <x:c r="AI26" s="30" t="str"/>
      <x:c r="AJ26" s="30" t="str">
        <x:v>0.5,0.75,1,1.25,1.5</x:v>
      </x:c>
      <x:c r="AK26" s="30" t="str">
        <x:v>PASS</x:v>
      </x:c>
      <x:c r="AL26" s="30" t="str">
        <x:v>ACTIVE_FOR_EXACT</x:v>
      </x:c>
      <x:c r="AM26" s="30" t="n">
        <x:v>190.6</x:v>
      </x:c>
      <x:c r="AN26" s="30" t="n">
        <x:v>17.5</x:v>
      </x:c>
      <x:c r="AO26" s="30" t="n">
        <x:v>11.6</x:v>
      </x:c>
      <x:c r="AP26" s="30" t="n">
        <x:v>9.3</x:v>
      </x:c>
    </x:row>
    <x:row r="27">
      <x:c r="A27" s="30" t="str">
        <x:v>P012</x:v>
      </x:c>
      <x:c r="B27" s="30" t="str">
        <x:v>牛肉西葫芦</x:v>
      </x:c>
      <x:c r="C27" s="30" t="str">
        <x:v>protein</x:v>
      </x:c>
      <x:c r="D27" s="30" t="str">
        <x:v>lean_meat</x:v>
      </x:c>
      <x:c r="E27" s="30" t="str">
        <x:v>否</x:v>
      </x:c>
      <x:c r="F27" s="30" t="str">
        <x:v>瘦牛肉80g；西葫芦150g；植物油5g</x:v>
      </x:c>
      <x:c r="G27" s="30" t="n">
        <x:v>159.5</x:v>
      </x:c>
      <x:c r="H27" s="30" t="n">
        <x:v>17.4</x:v>
      </x:c>
      <x:c r="I27" s="30" t="n">
        <x:v>6.7</x:v>
      </x:c>
      <x:c r="J27" s="30" t="n">
        <x:v>7.1</x:v>
      </x:c>
      <x:c r="K27" s="30" t="str">
        <x:v>高尿酸者按个体规则。</x:v>
      </x:c>
      <x:c r="L27" s="30" t="str">
        <x:v>换鸡肉/豆腐。</x:v>
      </x:c>
      <x:c r="M27" s="69" t="str">
        <x:v>肉鱼豆腐蔬果按烹调前可食部重量；烹调油按实际加入量</x:v>
      </x:c>
      <x:c r="N27" s="69" t="str">
        <x:v>组件scale必须由Ingredient Master逐食材执行化后判定；只允许列出的合法scale，禁止突破任一食材min/max/step。</x:v>
      </x:c>
      <x:c r="O27" s="69" t="str">
        <x:v>0.5×base</x:v>
      </x:c>
      <x:c r="P27" s="69" t="str">
        <x:v>1.5×base</x:v>
      </x:c>
      <x:c r="Q27" s="69" t="str">
        <x:v>0.25×base</x:v>
      </x:c>
      <x:c r="R27" s="69" t="str">
        <x:v>MDT原则确认</x:v>
      </x:c>
      <x:c r="S27" s="69" t="str"/>
      <x:c r="T27" s="69" t="str"/>
      <x:c r="U27" s="69" t="str">
        <x:v>推荐</x:v>
      </x:c>
      <x:c r="V27" s="69" t="str">
        <x:v>推荐</x:v>
      </x:c>
      <x:c r="W27" s="69" t="str">
        <x:v>作为主蛋白候选；具体总量服从蛋白目标、肾功能/尿酸/耐受等临床修饰。</x:v>
      </x:c>
      <x:c r="X27" s="41" t="str">
        <x:v>确认</x:v>
      </x:c>
      <x:c r="Y27" s="41" t="str">
        <x:v>已按Ingredient Master单一事实来源重算营养；旧组件营养值仅保留历史追溯。</x:v>
      </x:c>
      <x:c r="Z27" s="41" t="str"/>
      <x:c r="AA27" s="41" t="str"/>
      <x:c r="AB27" s="41" t="n">
        <x:v>9</x:v>
      </x:c>
      <x:c r="AC27" s="72" t="str">
        <x:v>LINEAR_WITH_EXECUTION_ROUNDING</x:v>
      </x:c>
      <x:c r="AD27" s="72" t="str">
        <x:v>最终医生/患者方案必须显示g/ml/个（复合菜展开主要食材）；component_portion_scale仅后台保留。</x:v>
      </x:c>
      <x:c r="AE27" s="72" t="str">
        <x:v>候选规则（需MDT确认）</x:v>
      </x:c>
      <x:c r="AF27" s="72" t="str">
        <x:v>SRC01+SRC03+现有FOOD base recipe+SRC05/SRC06（围术期覆盖）</x:v>
      </x:c>
      <x:c r="AG27" s="72" t="str">
        <x:v>https://www.cnssci.net/uploads/allimg/20240607/1-24060G41PM29.pdf ; https://dg.cnsoc.org/article/04/J4-AsD_DR3OLQMnHG0-jZA.html</x:v>
      </x:c>
      <x:c r="AH27" s="30" t="str">
        <x:v>ACTIVE_RECALCULATED</x:v>
      </x:c>
      <x:c r="AI27" s="30" t="str"/>
      <x:c r="AJ27" s="30" t="str">
        <x:v>0.5,0.75,1,1.25,1.5</x:v>
      </x:c>
      <x:c r="AK27" s="30" t="str">
        <x:v>PASS</x:v>
      </x:c>
      <x:c r="AL27" s="30" t="str">
        <x:v>ACTIVE_FOR_EXACT</x:v>
      </x:c>
      <x:c r="AM27" s="30" t="n">
        <x:v>159.5</x:v>
      </x:c>
      <x:c r="AN27" s="30" t="n">
        <x:v>17.4</x:v>
      </x:c>
      <x:c r="AO27" s="30" t="n">
        <x:v>6.7</x:v>
      </x:c>
      <x:c r="AP27" s="30" t="n">
        <x:v>7.1</x:v>
      </x:c>
    </x:row>
    <x:row r="28">
      <x:c r="A28" s="30" t="str">
        <x:v>P013</x:v>
      </x:c>
      <x:c r="B28" s="30" t="str">
        <x:v>冬瓜豆腐虾仁汤</x:v>
      </x:c>
      <x:c r="C28" s="30" t="str">
        <x:v>protein</x:v>
      </x:c>
      <x:c r="D28" s="30" t="str">
        <x:v>fish</x:v>
      </x:c>
      <x:c r="E28" s="30" t="str">
        <x:v>否</x:v>
      </x:c>
      <x:c r="F28" s="30" t="str">
        <x:v>虾仁50g；北豆腐100g；冬瓜200g；植物油2g</x:v>
      </x:c>
      <x:c r="G28" s="30" t="n">
        <x:v>208</x:v>
      </x:c>
      <x:c r="H28" s="30" t="n">
        <x:v>23.2</x:v>
      </x:c>
      <x:c r="I28" s="30" t="n">
        <x:v>8.3</x:v>
      </x:c>
      <x:c r="J28" s="30" t="n">
        <x:v>9.8</x:v>
      </x:c>
      <x:c r="K28" s="30" t="str">
        <x:v>海鲜过敏者去虾仁并增加豆腐/鸡蛋。</x:v>
      </x:c>
      <x:c r="L28" s="30" t="str">
        <x:v>换豆腐蛋花汤。</x:v>
      </x:c>
      <x:c r="M28" s="69" t="str">
        <x:v>肉鱼豆腐蔬果按烹调前可食部重量；烹调油按实际加入量</x:v>
      </x:c>
      <x:c r="N28" s="69" t="str">
        <x:v>组件scale必须由Ingredient Master逐食材执行化后判定；只允许列出的合法scale，禁止突破任一食材min/max/step。</x:v>
      </x:c>
      <x:c r="O28" s="69" t="str">
        <x:v>0.75×base</x:v>
      </x:c>
      <x:c r="P28" s="69" t="str">
        <x:v>1.25×base</x:v>
      </x:c>
      <x:c r="Q28" s="69" t="str">
        <x:v>0.25×base</x:v>
      </x:c>
      <x:c r="R28" s="69" t="str">
        <x:v>MDT原则确认</x:v>
      </x:c>
      <x:c r="S28" s="69" t="str"/>
      <x:c r="T28" s="69" t="str"/>
      <x:c r="U28" s="69" t="str">
        <x:v>可用</x:v>
      </x:c>
      <x:c r="V28" s="69" t="str">
        <x:v>条件可用</x:v>
      </x:c>
      <x:c r="W28" s="69" t="str">
        <x:v>汤类体积较大，早饱时减少汤液体积并优先完成蛋白。</x:v>
      </x:c>
      <x:c r="X28" s="41" t="str">
        <x:v>规则确认，来源待补</x:v>
      </x:c>
      <x:c r="Y28" s="41" t="str">
        <x:v>份量/执行规则已确认；含未完成营养来源/产品/身份确认的基础食材，禁止用于EXACT营养闭合。</x:v>
      </x:c>
      <x:c r="Z28" s="41" t="str"/>
      <x:c r="AA28" s="41" t="str"/>
      <x:c r="AB28" s="41" t="n">
        <x:v>9</x:v>
      </x:c>
      <x:c r="AC28" s="72" t="str">
        <x:v>LINEAR_LIMITED_RANGE</x:v>
      </x:c>
      <x:c r="AD28" s="72" t="str">
        <x:v>最终医生/患者方案必须显示g/ml/个（复合菜展开主要食材）；component_portion_scale仅后台保留。</x:v>
      </x:c>
      <x:c r="AE28" s="72" t="str">
        <x:v>候选规则（需MDT确认）</x:v>
      </x:c>
      <x:c r="AF28" s="72" t="str">
        <x:v>SRC01+SRC03+现有FOOD base recipe+SRC05/SRC06（围术期覆盖）</x:v>
      </x:c>
      <x:c r="AG28" s="72" t="str">
        <x:v>https://www.cnssci.net/uploads/allimg/20240607/1-24060G41PM29.pdf ; https://dg.cnsoc.org/article/04/J4-AsD_DR3OLQMnHG0-jZA.html</x:v>
      </x:c>
      <x:c r="AH28" s="30" t="str">
        <x:v>NEEDS_SOURCE_RECALC</x:v>
      </x:c>
      <x:c r="AI28" s="30" t="str">
        <x:v>虾仁</x:v>
      </x:c>
      <x:c r="AJ28" s="30" t="str">
        <x:v>0.75,1,1.25</x:v>
      </x:c>
      <x:c r="AK28" s="30" t="str">
        <x:v>PASS</x:v>
      </x:c>
      <x:c r="AL28" s="30" t="str">
        <x:v>RULE_APPROVED_SOURCE_PENDING</x:v>
      </x:c>
      <x:c r="AM28" s="30" t="n">
        <x:v>181.8</x:v>
      </x:c>
      <x:c r="AN28" s="30" t="n">
        <x:v>21.4</x:v>
      </x:c>
      <x:c r="AO28" s="30" t="n">
        <x:v>8</x:v>
      </x:c>
      <x:c r="AP28" s="30" t="n">
        <x:v>7.5</x:v>
      </x:c>
    </x:row>
    <x:row r="29">
      <x:c r="A29" s="30" t="str">
        <x:v>P014</x:v>
      </x:c>
      <x:c r="B29" s="30" t="str">
        <x:v>鸡蛋豆腐羹</x:v>
      </x:c>
      <x:c r="C29" s="30" t="str">
        <x:v>protein</x:v>
      </x:c>
      <x:c r="D29" s="30" t="str">
        <x:v>egg</x:v>
      </x:c>
      <x:c r="E29" s="30" t="str">
        <x:v>否</x:v>
      </x:c>
      <x:c r="F29" s="30" t="str">
        <x:v>鸡蛋50g；北豆腐100g；植物油2g</x:v>
      </x:c>
      <x:c r="G29" s="30" t="n">
        <x:v>188.8</x:v>
      </x:c>
      <x:c r="H29" s="30" t="n">
        <x:v>18.9</x:v>
      </x:c>
      <x:c r="I29" s="30" t="n">
        <x:v>3.4</x:v>
      </x:c>
      <x:c r="J29" s="30" t="n">
        <x:v>11.2</x:v>
      </x:c>
      <x:c r="K29" s="30" t="str">
        <x:v>肾功能限制者按蛋白计划。</x:v>
      </x:c>
      <x:c r="L29" s="30" t="str">
        <x:v>换虾仁蒸蛋。</x:v>
      </x:c>
      <x:c r="M29" s="69" t="str">
        <x:v>鸡蛋按1个≈50g可食部；肉鱼豆腐蔬果按烹调前可食部重量；烹调油按实际加入量</x:v>
      </x:c>
      <x:c r="N29" s="69" t="str">
        <x:v>固定scale；仅允许1.0×base。若需改变总量，换组件或拆分/重构后重算。</x:v>
      </x:c>
      <x:c r="O29" s="69" t="str">
        <x:v>1×base</x:v>
      </x:c>
      <x:c r="P29" s="69" t="str">
        <x:v>1×base</x:v>
      </x:c>
      <x:c r="Q29" s="69" t="str">
        <x:v>固定</x:v>
      </x:c>
      <x:c r="R29" s="69" t="str">
        <x:v>MDT原则确认</x:v>
      </x:c>
      <x:c r="S29" s="69" t="str"/>
      <x:c r="T29" s="69" t="str"/>
      <x:c r="U29" s="69" t="str">
        <x:v>推荐</x:v>
      </x:c>
      <x:c r="V29" s="69" t="str">
        <x:v>推荐</x:v>
      </x:c>
      <x:c r="W29" s="69" t="str">
        <x:v>作为主蛋白候选；具体总量服从蛋白目标、肾功能/尿酸/耐受等临床修饰。</x:v>
      </x:c>
      <x:c r="X29" s="41" t="str">
        <x:v>确认</x:v>
      </x:c>
      <x:c r="Y29" s="41" t="str">
        <x:v>已按Ingredient Master单一事实来源重算营养；旧组件营养值仅保留历史追溯。</x:v>
      </x:c>
      <x:c r="Z29" s="41" t="str"/>
      <x:c r="AA29" s="41" t="str"/>
      <x:c r="AB29" s="41" t="n">
        <x:v>9</x:v>
      </x:c>
      <x:c r="AC29" s="72" t="str">
        <x:v>FIXED_COMPOSITE_NO_DIRECT_SCALING</x:v>
      </x:c>
      <x:c r="AD29" s="72" t="str">
        <x:v>最终医生/患者方案必须显示g/ml/个（复合菜展开主要食材）；component_portion_scale仅后台保留。</x:v>
      </x:c>
      <x:c r="AE29" s="72" t="str">
        <x:v>候选规则（需MDT确认）</x:v>
      </x:c>
      <x:c r="AF29" s="72" t="str">
        <x:v>SRC01+SRC03+现有FOOD base recipe+SRC05/SRC06（围术期覆盖）</x:v>
      </x:c>
      <x:c r="AG29" s="72" t="str">
        <x:v>https://www.cnssci.net/uploads/allimg/20240607/1-24060G41PM29.pdf ; https://dg.cnsoc.org/article/04/J4-AsD_DR3OLQMnHG0-jZA.html</x:v>
      </x:c>
      <x:c r="AH29" s="30" t="str">
        <x:v>ACTIVE_RECALCULATED</x:v>
      </x:c>
      <x:c r="AI29" s="30" t="str"/>
      <x:c r="AJ29" s="30" t="str">
        <x:v>1</x:v>
      </x:c>
      <x:c r="AK29" s="30" t="str">
        <x:v>PASS</x:v>
      </x:c>
      <x:c r="AL29" s="30" t="str">
        <x:v>ACTIVE_FOR_EXACT</x:v>
      </x:c>
      <x:c r="AM29" s="30" t="n">
        <x:v>188.8</x:v>
      </x:c>
      <x:c r="AN29" s="30" t="n">
        <x:v>18.9</x:v>
      </x:c>
      <x:c r="AO29" s="30" t="n">
        <x:v>3.4</x:v>
      </x:c>
      <x:c r="AP29" s="30" t="n">
        <x:v>11.2</x:v>
      </x:c>
    </x:row>
    <x:row r="30">
      <x:c r="A30" s="30" t="str">
        <x:v>P015</x:v>
      </x:c>
      <x:c r="B30" s="30" t="str">
        <x:v>低脂奶蛋组合</x:v>
      </x:c>
      <x:c r="C30" s="30" t="str">
        <x:v>protein</x:v>
      </x:c>
      <x:c r="D30" s="30" t="str">
        <x:v>egg</x:v>
      </x:c>
      <x:c r="E30" s="30" t="str">
        <x:v>否</x:v>
      </x:c>
      <x:c r="F30" s="30" t="str">
        <x:v>低脂牛奶250ml；鸡蛋50g</x:v>
      </x:c>
      <x:c r="G30" s="30" t="n">
        <x:v>187</x:v>
      </x:c>
      <x:c r="H30" s="30" t="n">
        <x:v>14.9</x:v>
      </x:c>
      <x:c r="I30" s="30" t="n">
        <x:v>13.4</x:v>
      </x:c>
      <x:c r="J30" s="30" t="n">
        <x:v>8.2</x:v>
      </x:c>
      <x:c r="K30" s="30" t="str">
        <x:v>乳糖不耐受者用无乳糖奶/无糖豆浆。</x:v>
      </x:c>
      <x:c r="L30" s="30" t="str">
        <x:v>牛奶换无糖豆浆。</x:v>
      </x:c>
      <x:c r="M30" s="69" t="str">
        <x:v>奶/豆浆按包装容量；鸡蛋按1个≈50g可食部</x:v>
      </x:c>
      <x:c r="N30" s="69" t="str">
        <x:v>固定scale；仅允许1.0×base。若需改变总量，换组件或拆分/重构后重算。</x:v>
      </x:c>
      <x:c r="O30" s="69" t="str">
        <x:v>1×base</x:v>
      </x:c>
      <x:c r="P30" s="69" t="str">
        <x:v>1×base</x:v>
      </x:c>
      <x:c r="Q30" s="69" t="str">
        <x:v>固定</x:v>
      </x:c>
      <x:c r="R30" s="69" t="str">
        <x:v>MDT原则确认</x:v>
      </x:c>
      <x:c r="S30" s="69" t="str"/>
      <x:c r="T30" s="69" t="str"/>
      <x:c r="U30" s="69" t="str">
        <x:v>推荐</x:v>
      </x:c>
      <x:c r="V30" s="69" t="str">
        <x:v>推荐</x:v>
      </x:c>
      <x:c r="W30" s="69" t="str">
        <x:v>作为主蛋白候选；具体总量服从蛋白目标、肾功能/尿酸/耐受等临床修饰。</x:v>
      </x:c>
      <x:c r="X30" s="41" t="str">
        <x:v>规则确认，来源待补</x:v>
      </x:c>
      <x:c r="Y30" s="41" t="str">
        <x:v>份量/执行规则已确认；含未完成营养来源/产品/身份确认的基础食材，禁止用于EXACT营养闭合。</x:v>
      </x:c>
      <x:c r="Z30" s="41" t="str"/>
      <x:c r="AA30" s="41" t="str"/>
      <x:c r="AB30" s="41" t="n">
        <x:v>9</x:v>
      </x:c>
      <x:c r="AC30" s="72" t="str">
        <x:v>FIXED_COMPOSITE_NO_DIRECT_SCALING</x:v>
      </x:c>
      <x:c r="AD30" s="72" t="str">
        <x:v>最终医生/患者方案必须显示g/ml/个（复合菜展开主要食材）；component_portion_scale仅后台保留。</x:v>
      </x:c>
      <x:c r="AE30" s="72" t="str">
        <x:v>候选规则（需MDT确认）</x:v>
      </x:c>
      <x:c r="AF30" s="72" t="str">
        <x:v>SRC01+SRC03+现有FOOD base recipe+SRC05/SRC06（围术期覆盖）</x:v>
      </x:c>
      <x:c r="AG30" s="72" t="str">
        <x:v>https://www.cnssci.net/uploads/allimg/20240607/1-24060G41PM29.pdf ; https://dg.cnsoc.org/article/04/J4-AsD_DR3OLQMnHG0-jZA.html</x:v>
      </x:c>
      <x:c r="AH30" s="30" t="str">
        <x:v>NEEDS_SOURCE_RECALC</x:v>
      </x:c>
      <x:c r="AI30" s="30" t="str">
        <x:v>低脂牛奶</x:v>
      </x:c>
      <x:c r="AJ30" s="30" t="str">
        <x:v>1</x:v>
      </x:c>
      <x:c r="AK30" s="30" t="str">
        <x:v>PASS</x:v>
      </x:c>
      <x:c r="AL30" s="30" t="str">
        <x:v>RULE_APPROVED_SOURCE_PENDING</x:v>
      </x:c>
      <x:c r="AM30" s="30" t="n">
        <x:v>180.3</x:v>
      </x:c>
      <x:c r="AN30" s="30" t="n">
        <x:v>13.9</x:v>
      </x:c>
      <x:c r="AO30" s="30" t="n">
        <x:v>13.9</x:v>
      </x:c>
      <x:c r="AP30" s="30" t="n">
        <x:v>7.7</x:v>
      </x:c>
    </x:row>
    <x:row r="31">
      <x:c r="A31" s="30" t="str">
        <x:v>V001</x:v>
      </x:c>
      <x:c r="B31" s="30" t="str">
        <x:v>蒜香西兰花</x:v>
      </x:c>
      <x:c r="C31" s="30" t="str">
        <x:v>vegetable</x:v>
      </x:c>
      <x:c r="D31" s="56" t="str">
        <x:v>unknown</x:v>
      </x:c>
      <x:c r="E31" s="30" t="str">
        <x:v>否</x:v>
      </x:c>
      <x:c r="F31" s="30" t="str">
        <x:v>西兰花200g；植物油5g</x:v>
      </x:c>
      <x:c r="G31" s="30" t="n">
        <x:v>117.2</x:v>
      </x:c>
      <x:c r="H31" s="30" t="n">
        <x:v>8.2</x:v>
      </x:c>
      <x:c r="I31" s="30" t="n">
        <x:v>8.6</x:v>
      </x:c>
      <x:c r="J31" s="30" t="n">
        <x:v>6.2</x:v>
      </x:c>
      <x:c r="K31" s="30" t="str">
        <x:v>无特殊。</x:v>
      </x:c>
      <x:c r="L31" s="30" t="str">
        <x:v>换油麦菜/菠菜。</x:v>
      </x:c>
      <x:c r="M31" s="69" t="str">
        <x:v>肉鱼豆腐蔬果按烹调前可食部重量；烹调油按实际加入量</x:v>
      </x:c>
      <x:c r="N31" s="69" t="str">
        <x:v>组件scale必须由Ingredient Master逐食材执行化后判定；只允许列出的合法scale，禁止突破任一食材min/max/step。</x:v>
      </x:c>
      <x:c r="O31" s="69" t="str">
        <x:v>0.5×base</x:v>
      </x:c>
      <x:c r="P31" s="69" t="str">
        <x:v>1.25×base</x:v>
      </x:c>
      <x:c r="Q31" s="69" t="str">
        <x:v>0.25×base</x:v>
      </x:c>
      <x:c r="R31" s="69" t="str">
        <x:v>MDT原则确认</x:v>
      </x:c>
      <x:c r="S31" s="69" t="str"/>
      <x:c r="T31" s="70" t="str">
        <x:v>deep_leaf_flower</x:v>
      </x:c>
      <x:c r="U31" s="69" t="str">
        <x:v>可用</x:v>
      </x:c>
      <x:c r="V31" s="69" t="str">
        <x:v>条件可用</x:v>
      </x:c>
      <x:c r="W31" s="69" t="str">
        <x:v>D/E按小份、熟软、低体积执行；每日总量与整体膳食平衡，不机械追求单餐大份。</x:v>
      </x:c>
      <x:c r="X31" s="41" t="str">
        <x:v>确认</x:v>
      </x:c>
      <x:c r="Y31" s="41" t="str">
        <x:v>已按Ingredient Master单一事实来源重算营养；旧组件营养值仅保留历史追溯。</x:v>
      </x:c>
      <x:c r="Z31" s="41" t="str"/>
      <x:c r="AA31" s="41" t="str"/>
      <x:c r="AB31" s="41" t="n">
        <x:v>10</x:v>
      </x:c>
      <x:c r="AC31" s="72" t="str">
        <x:v>LINEAR_VEGETABLE_LIMITED</x:v>
      </x:c>
      <x:c r="AD31" s="72" t="str">
        <x:v>最终医生/患者方案必须显示g/ml/个（复合菜展开主要食材）；component_portion_scale仅后台保留。</x:v>
      </x:c>
      <x:c r="AE31" s="72" t="str">
        <x:v>候选规则（需MDT确认）</x:v>
      </x:c>
      <x:c r="AF31" s="72" t="str">
        <x:v>SRC01+SRC03+现有FOOD base recipe+SRC02</x:v>
      </x:c>
      <x:c r="AG31" s="72" t="str">
        <x:v>https://www.cnssci.net/uploads/allimg/20240607/1-24060G41PM29.pdf ; https://dg.cnsoc.org/article/04/J4-AsD_DR3OLQMnHG0-jZA.html</x:v>
      </x:c>
      <x:c r="AH31" s="30" t="str">
        <x:v>ACTIVE_RECALCULATED</x:v>
      </x:c>
      <x:c r="AI31" s="30" t="str"/>
      <x:c r="AJ31" s="30" t="str">
        <x:v>0.5,0.75,1,1.25</x:v>
      </x:c>
      <x:c r="AK31" s="30" t="str">
        <x:v>PASS</x:v>
      </x:c>
      <x:c r="AL31" s="30" t="str">
        <x:v>ACTIVE_FOR_EXACT</x:v>
      </x:c>
      <x:c r="AM31" s="30" t="n">
        <x:v>117.2</x:v>
      </x:c>
      <x:c r="AN31" s="30" t="n">
        <x:v>8.2</x:v>
      </x:c>
      <x:c r="AO31" s="30" t="n">
        <x:v>8.6</x:v>
      </x:c>
      <x:c r="AP31" s="30" t="n">
        <x:v>6.2</x:v>
      </x:c>
    </x:row>
    <x:row r="32">
      <x:c r="A32" s="30" t="str">
        <x:v>V002</x:v>
      </x:c>
      <x:c r="B32" s="30" t="str">
        <x:v>清炒菠菜</x:v>
      </x:c>
      <x:c r="C32" s="30" t="str">
        <x:v>vegetable</x:v>
      </x:c>
      <x:c r="D32" s="56" t="str">
        <x:v>unknown</x:v>
      </x:c>
      <x:c r="E32" s="30" t="str">
        <x:v>否</x:v>
      </x:c>
      <x:c r="F32" s="30" t="str">
        <x:v>菠菜200g；植物油5g</x:v>
      </x:c>
      <x:c r="G32" s="30" t="n">
        <x:v>100.4</x:v>
      </x:c>
      <x:c r="H32" s="30" t="n">
        <x:v>5.2</x:v>
      </x:c>
      <x:c r="I32" s="30" t="n">
        <x:v>9</x:v>
      </x:c>
      <x:c r="J32" s="30" t="n">
        <x:v>5.6</x:v>
      </x:c>
      <x:c r="K32" s="30" t="str">
        <x:v>特定草酸/肾病管理按医护意见。</x:v>
      </x:c>
      <x:c r="L32" s="30" t="str">
        <x:v>换油麦菜。</x:v>
      </x:c>
      <x:c r="M32" s="69" t="str">
        <x:v>肉鱼豆腐蔬果按烹调前可食部重量；烹调油按实际加入量</x:v>
      </x:c>
      <x:c r="N32" s="69" t="str">
        <x:v>组件scale必须由Ingredient Master逐食材执行化后判定；只允许列出的合法scale，禁止突破任一食材min/max/step。</x:v>
      </x:c>
      <x:c r="O32" s="69" t="str">
        <x:v>0.5×base</x:v>
      </x:c>
      <x:c r="P32" s="69" t="str">
        <x:v>1.25×base</x:v>
      </x:c>
      <x:c r="Q32" s="69" t="str">
        <x:v>0.25×base</x:v>
      </x:c>
      <x:c r="R32" s="69" t="str">
        <x:v>MDT原则确认</x:v>
      </x:c>
      <x:c r="S32" s="69" t="str"/>
      <x:c r="T32" s="70" t="str">
        <x:v>deep_leafy</x:v>
      </x:c>
      <x:c r="U32" s="69" t="str">
        <x:v>可用</x:v>
      </x:c>
      <x:c r="V32" s="69" t="str">
        <x:v>条件可用</x:v>
      </x:c>
      <x:c r="W32" s="69" t="str">
        <x:v>D/E按小份、熟软、低体积执行；每日总量与整体膳食平衡，不机械追求单餐大份。</x:v>
      </x:c>
      <x:c r="X32" s="41" t="str">
        <x:v>确认</x:v>
      </x:c>
      <x:c r="Y32" s="41" t="str">
        <x:v>已按Ingredient Master单一事实来源重算营养；旧组件营养值仅保留历史追溯。</x:v>
      </x:c>
      <x:c r="Z32" s="41" t="str"/>
      <x:c r="AA32" s="41" t="str"/>
      <x:c r="AB32" s="41" t="n">
        <x:v>10</x:v>
      </x:c>
      <x:c r="AC32" s="72" t="str">
        <x:v>LINEAR_VEGETABLE_LIMITED</x:v>
      </x:c>
      <x:c r="AD32" s="72" t="str">
        <x:v>最终医生/患者方案必须显示g/ml/个（复合菜展开主要食材）；component_portion_scale仅后台保留。</x:v>
      </x:c>
      <x:c r="AE32" s="72" t="str">
        <x:v>候选规则（需MDT确认）</x:v>
      </x:c>
      <x:c r="AF32" s="72" t="str">
        <x:v>SRC01+SRC03+现有FOOD base recipe+SRC02</x:v>
      </x:c>
      <x:c r="AG32" s="72" t="str">
        <x:v>https://www.cnssci.net/uploads/allimg/20240607/1-24060G41PM29.pdf ; https://dg.cnsoc.org/article/04/J4-AsD_DR3OLQMnHG0-jZA.html</x:v>
      </x:c>
      <x:c r="AH32" s="30" t="str">
        <x:v>ACTIVE_RECALCULATED</x:v>
      </x:c>
      <x:c r="AI32" s="30" t="str"/>
      <x:c r="AJ32" s="30" t="str">
        <x:v>0.5,0.75,1,1.25</x:v>
      </x:c>
      <x:c r="AK32" s="30" t="str">
        <x:v>PASS</x:v>
      </x:c>
      <x:c r="AL32" s="30" t="str">
        <x:v>ACTIVE_FOR_EXACT</x:v>
      </x:c>
      <x:c r="AM32" s="30" t="n">
        <x:v>100.4</x:v>
      </x:c>
      <x:c r="AN32" s="30" t="n">
        <x:v>5.2</x:v>
      </x:c>
      <x:c r="AO32" s="30" t="n">
        <x:v>9</x:v>
      </x:c>
      <x:c r="AP32" s="30" t="n">
        <x:v>5.6</x:v>
      </x:c>
    </x:row>
    <x:row r="33">
      <x:c r="A33" s="30" t="str">
        <x:v>V003</x:v>
      </x:c>
      <x:c r="B33" s="30" t="str">
        <x:v>香菇油麦菜</x:v>
      </x:c>
      <x:c r="C33" s="30" t="str">
        <x:v>vegetable</x:v>
      </x:c>
      <x:c r="D33" s="56" t="str">
        <x:v>unknown</x:v>
      </x:c>
      <x:c r="E33" s="30" t="str">
        <x:v>否</x:v>
      </x:c>
      <x:c r="F33" s="30" t="str">
        <x:v>油麦菜180g；香菇鲜80g；植物油5g</x:v>
      </x:c>
      <x:c r="G33" s="30" t="n">
        <x:v>95.2</x:v>
      </x:c>
      <x:c r="H33" s="30" t="n">
        <x:v>4.3</x:v>
      </x:c>
      <x:c r="I33" s="30" t="n">
        <x:v>7.9</x:v>
      </x:c>
      <x:c r="J33" s="30" t="n">
        <x:v>6</x:v>
      </x:c>
      <x:c r="K33" s="30" t="str">
        <x:v>无特殊。</x:v>
      </x:c>
      <x:c r="L33" s="30" t="str">
        <x:v>换圆白菜/西兰花。</x:v>
      </x:c>
      <x:c r="M33" s="69" t="str">
        <x:v>肉鱼豆腐蔬果按烹调前可食部重量；烹调油按实际加入量</x:v>
      </x:c>
      <x:c r="N33" s="69" t="str">
        <x:v>组件scale必须由Ingredient Master逐食材执行化后判定；只允许列出的合法scale，禁止突破任一食材min/max/step。</x:v>
      </x:c>
      <x:c r="O33" s="69" t="str">
        <x:v>0.5×base</x:v>
      </x:c>
      <x:c r="P33" s="69" t="str">
        <x:v>1.25×base</x:v>
      </x:c>
      <x:c r="Q33" s="69" t="str">
        <x:v>0.25×base</x:v>
      </x:c>
      <x:c r="R33" s="69" t="str">
        <x:v>MDT原则确认</x:v>
      </x:c>
      <x:c r="S33" s="69" t="str"/>
      <x:c r="T33" s="70" t="str">
        <x:v>mixed_leafy_mushroom</x:v>
      </x:c>
      <x:c r="U33" s="69" t="str">
        <x:v>可用</x:v>
      </x:c>
      <x:c r="V33" s="69" t="str">
        <x:v>条件可用</x:v>
      </x:c>
      <x:c r="W33" s="69" t="str">
        <x:v>D/E按小份、熟软、低体积执行；每日总量与整体膳食平衡，不机械追求单餐大份。</x:v>
      </x:c>
      <x:c r="X33" s="41" t="str">
        <x:v>确认</x:v>
      </x:c>
      <x:c r="Y33" s="41" t="str">
        <x:v>已按Ingredient Master单一事实来源重算营养；旧组件营养值仅保留历史追溯。</x:v>
      </x:c>
      <x:c r="Z33" s="41" t="str"/>
      <x:c r="AA33" s="41" t="str"/>
      <x:c r="AB33" s="41" t="n">
        <x:v>10</x:v>
      </x:c>
      <x:c r="AC33" s="72" t="str">
        <x:v>LINEAR_VEGETABLE_LIMITED</x:v>
      </x:c>
      <x:c r="AD33" s="72" t="str">
        <x:v>最终医生/患者方案必须显示g/ml/个（复合菜展开主要食材）；component_portion_scale仅后台保留。</x:v>
      </x:c>
      <x:c r="AE33" s="72" t="str">
        <x:v>候选规则（需MDT确认）</x:v>
      </x:c>
      <x:c r="AF33" s="72" t="str">
        <x:v>SRC01+SRC03+现有FOOD base recipe+SRC02</x:v>
      </x:c>
      <x:c r="AG33" s="72" t="str">
        <x:v>https://www.cnssci.net/uploads/allimg/20240607/1-24060G41PM29.pdf ; https://dg.cnsoc.org/article/04/J4-AsD_DR3OLQMnHG0-jZA.html</x:v>
      </x:c>
      <x:c r="AH33" s="30" t="str">
        <x:v>ACTIVE_RECALCULATED</x:v>
      </x:c>
      <x:c r="AI33" s="30" t="str"/>
      <x:c r="AJ33" s="30" t="str">
        <x:v>0.5,0.75,1,1.25</x:v>
      </x:c>
      <x:c r="AK33" s="30" t="str">
        <x:v>PASS</x:v>
      </x:c>
      <x:c r="AL33" s="30" t="str">
        <x:v>ACTIVE_FOR_EXACT</x:v>
      </x:c>
      <x:c r="AM33" s="30" t="n">
        <x:v>95.2</x:v>
      </x:c>
      <x:c r="AN33" s="30" t="n">
        <x:v>4.3</x:v>
      </x:c>
      <x:c r="AO33" s="30" t="n">
        <x:v>7.9</x:v>
      </x:c>
      <x:c r="AP33" s="30" t="n">
        <x:v>6</x:v>
      </x:c>
    </x:row>
    <x:row r="34">
      <x:c r="A34" s="30" t="str">
        <x:v>V004</x:v>
      </x:c>
      <x:c r="B34" s="30" t="str">
        <x:v>清炒圆白菜</x:v>
      </x:c>
      <x:c r="C34" s="30" t="str">
        <x:v>vegetable</x:v>
      </x:c>
      <x:c r="D34" s="56" t="str">
        <x:v>unknown</x:v>
      </x:c>
      <x:c r="E34" s="30" t="str">
        <x:v>否</x:v>
      </x:c>
      <x:c r="F34" s="30" t="str">
        <x:v>圆白菜200g；植物油5g</x:v>
      </x:c>
      <x:c r="G34" s="30" t="n">
        <x:v>93.8</x:v>
      </x:c>
      <x:c r="H34" s="30" t="n">
        <x:v>3</x:v>
      </x:c>
      <x:c r="I34" s="30" t="n">
        <x:v>9.2</x:v>
      </x:c>
      <x:c r="J34" s="30" t="n">
        <x:v>5.4</x:v>
      </x:c>
      <x:c r="K34" s="30" t="str">
        <x:v>无特殊。</x:v>
      </x:c>
      <x:c r="L34" s="30" t="str">
        <x:v>换油麦菜。</x:v>
      </x:c>
      <x:c r="M34" s="69" t="str">
        <x:v>肉鱼豆腐蔬果按烹调前可食部重量；烹调油按实际加入量</x:v>
      </x:c>
      <x:c r="N34" s="69" t="str">
        <x:v>组件scale必须由Ingredient Master逐食材执行化后判定；只允许列出的合法scale，禁止突破任一食材min/max/step。</x:v>
      </x:c>
      <x:c r="O34" s="69" t="str">
        <x:v>0.5×base</x:v>
      </x:c>
      <x:c r="P34" s="69" t="str">
        <x:v>1.25×base</x:v>
      </x:c>
      <x:c r="Q34" s="69" t="str">
        <x:v>0.25×base</x:v>
      </x:c>
      <x:c r="R34" s="69" t="str">
        <x:v>MDT原则确认</x:v>
      </x:c>
      <x:c r="S34" s="69" t="str"/>
      <x:c r="T34" s="70" t="str">
        <x:v>light_leafy</x:v>
      </x:c>
      <x:c r="U34" s="69" t="str">
        <x:v>可用</x:v>
      </x:c>
      <x:c r="V34" s="69" t="str">
        <x:v>条件可用</x:v>
      </x:c>
      <x:c r="W34" s="69" t="str">
        <x:v>D/E按小份、熟软、低体积执行；每日总量与整体膳食平衡，不机械追求单餐大份。</x:v>
      </x:c>
      <x:c r="X34" s="41" t="str">
        <x:v>确认</x:v>
      </x:c>
      <x:c r="Y34" s="41" t="str">
        <x:v>已按Ingredient Master单一事实来源重算营养；旧组件营养值仅保留历史追溯。</x:v>
      </x:c>
      <x:c r="Z34" s="41" t="str"/>
      <x:c r="AA34" s="41" t="str"/>
      <x:c r="AB34" s="41" t="n">
        <x:v>10</x:v>
      </x:c>
      <x:c r="AC34" s="72" t="str">
        <x:v>LINEAR_VEGETABLE_LIMITED</x:v>
      </x:c>
      <x:c r="AD34" s="72" t="str">
        <x:v>最终医生/患者方案必须显示g/ml/个（复合菜展开主要食材）；component_portion_scale仅后台保留。</x:v>
      </x:c>
      <x:c r="AE34" s="72" t="str">
        <x:v>候选规则（需MDT确认）</x:v>
      </x:c>
      <x:c r="AF34" s="72" t="str">
        <x:v>SRC01+SRC03+现有FOOD base recipe+SRC02</x:v>
      </x:c>
      <x:c r="AG34" s="72" t="str">
        <x:v>https://www.cnssci.net/uploads/allimg/20240607/1-24060G41PM29.pdf ; https://dg.cnsoc.org/article/04/J4-AsD_DR3OLQMnHG0-jZA.html</x:v>
      </x:c>
      <x:c r="AH34" s="30" t="str">
        <x:v>ACTIVE_RECALCULATED</x:v>
      </x:c>
      <x:c r="AI34" s="30" t="str"/>
      <x:c r="AJ34" s="30" t="str">
        <x:v>0.5,0.75,1,1.25</x:v>
      </x:c>
      <x:c r="AK34" s="30" t="str">
        <x:v>PASS</x:v>
      </x:c>
      <x:c r="AL34" s="30" t="str">
        <x:v>ACTIVE_FOR_EXACT</x:v>
      </x:c>
      <x:c r="AM34" s="30" t="n">
        <x:v>93.8</x:v>
      </x:c>
      <x:c r="AN34" s="30" t="n">
        <x:v>3</x:v>
      </x:c>
      <x:c r="AO34" s="30" t="n">
        <x:v>9.2</x:v>
      </x:c>
      <x:c r="AP34" s="30" t="n">
        <x:v>5.4</x:v>
      </x:c>
    </x:row>
    <x:row r="35">
      <x:c r="A35" s="30" t="str">
        <x:v>V005</x:v>
      </x:c>
      <x:c r="B35" s="30" t="str">
        <x:v>芹菜木耳</x:v>
      </x:c>
      <x:c r="C35" s="30" t="str">
        <x:v>vegetable</x:v>
      </x:c>
      <x:c r="D35" s="56" t="str">
        <x:v>unknown</x:v>
      </x:c>
      <x:c r="E35" s="30" t="str">
        <x:v>否</x:v>
      </x:c>
      <x:c r="F35" s="30" t="str">
        <x:v>芹菜150g；木耳鲜80g；植物油5g</x:v>
      </x:c>
      <x:c r="G35" s="30" t="n">
        <x:v>92</x:v>
      </x:c>
      <x:c r="H35" s="30" t="n">
        <x:v>2.4</x:v>
      </x:c>
      <x:c r="I35" s="30" t="n">
        <x:v>10.7</x:v>
      </x:c>
      <x:c r="J35" s="30" t="n">
        <x:v>5.3</x:v>
      </x:c>
      <x:c r="K35" s="30" t="str">
        <x:v>吞咽/咀嚼差者切细煮软。</x:v>
      </x:c>
      <x:c r="L35" s="30" t="str">
        <x:v>换西兰花。</x:v>
      </x:c>
      <x:c r="M35" s="69" t="str">
        <x:v>肉鱼豆腐蔬果按烹调前可食部重量；烹调油按实际加入量</x:v>
      </x:c>
      <x:c r="N35" s="69" t="str">
        <x:v>组件scale必须由Ingredient Master逐食材执行化后判定；只允许列出的合法scale，禁止突破任一食材min/max/step。</x:v>
      </x:c>
      <x:c r="O35" s="69" t="str">
        <x:v>0.5×base</x:v>
      </x:c>
      <x:c r="P35" s="69" t="str">
        <x:v>1.25×base</x:v>
      </x:c>
      <x:c r="Q35" s="69" t="str">
        <x:v>0.25×base</x:v>
      </x:c>
      <x:c r="R35" s="69" t="str">
        <x:v>MDT原则确认</x:v>
      </x:c>
      <x:c r="S35" s="69" t="str"/>
      <x:c r="T35" s="70" t="str">
        <x:v>mixed_stem_fungus</x:v>
      </x:c>
      <x:c r="U35" s="69" t="str">
        <x:v>可用</x:v>
      </x:c>
      <x:c r="V35" s="69" t="str">
        <x:v>条件可用</x:v>
      </x:c>
      <x:c r="W35" s="69" t="str">
        <x:v>D/E按小份、熟软、低体积执行；每日总量与整体膳食平衡，不机械追求单餐大份。</x:v>
      </x:c>
      <x:c r="X35" s="41" t="str">
        <x:v>规则确认，来源待补</x:v>
      </x:c>
      <x:c r="Y35" s="41" t="str">
        <x:v>份量/执行规则已确认；含未完成营养来源/产品/身份确认的基础食材，禁止用于EXACT营养闭合。</x:v>
      </x:c>
      <x:c r="Z35" s="41" t="str"/>
      <x:c r="AA35" s="41" t="str"/>
      <x:c r="AB35" s="41" t="n">
        <x:v>10</x:v>
      </x:c>
      <x:c r="AC35" s="72" t="str">
        <x:v>LINEAR_VEGETABLE_LIMITED</x:v>
      </x:c>
      <x:c r="AD35" s="72" t="str">
        <x:v>最终医生/患者方案必须显示g/ml/个（复合菜展开主要食材）；component_portion_scale仅后台保留。</x:v>
      </x:c>
      <x:c r="AE35" s="72" t="str">
        <x:v>候选规则（需MDT确认）</x:v>
      </x:c>
      <x:c r="AF35" s="72" t="str">
        <x:v>SRC01+SRC03+现有FOOD base recipe+SRC02</x:v>
      </x:c>
      <x:c r="AG35" s="72" t="str">
        <x:v>https://www.cnssci.net/uploads/allimg/20240607/1-24060G41PM29.pdf ; https://dg.cnsoc.org/article/04/J4-AsD_DR3OLQMnHG0-jZA.html</x:v>
      </x:c>
      <x:c r="AH35" s="30" t="str">
        <x:v>NEEDS_SOURCE_RECALC</x:v>
      </x:c>
      <x:c r="AI35" s="30" t="str">
        <x:v>木耳鲜</x:v>
      </x:c>
      <x:c r="AJ35" s="30" t="str">
        <x:v>0.5,0.75,1,1.25</x:v>
      </x:c>
      <x:c r="AK35" s="30" t="str">
        <x:v>PASS</x:v>
      </x:c>
      <x:c r="AL35" s="30" t="str">
        <x:v>RULE_APPROVED_SOURCE_PENDING</x:v>
      </x:c>
      <x:c r="AM35" s="30" t="n">
        <x:v>91.9</x:v>
      </x:c>
      <x:c r="AN35" s="30" t="n">
        <x:v>2.4</x:v>
      </x:c>
      <x:c r="AO35" s="30" t="n">
        <x:v>10.6</x:v>
      </x:c>
      <x:c r="AP35" s="30" t="n">
        <x:v>5.3</x:v>
      </x:c>
    </x:row>
    <x:row r="36">
      <x:c r="A36" s="30" t="str">
        <x:v>V006</x:v>
      </x:c>
      <x:c r="B36" s="30" t="str">
        <x:v>番茄黄瓜双拼</x:v>
      </x:c>
      <x:c r="C36" s="30" t="str">
        <x:v>vegetable</x:v>
      </x:c>
      <x:c r="D36" s="56" t="str">
        <x:v>unknown</x:v>
      </x:c>
      <x:c r="E36" s="30" t="str">
        <x:v>否</x:v>
      </x:c>
      <x:c r="F36" s="30" t="str">
        <x:v>番茄150g；黄瓜150g；植物油3g</x:v>
      </x:c>
      <x:c r="G36" s="30" t="n">
        <x:v>81.6</x:v>
      </x:c>
      <x:c r="H36" s="30" t="n">
        <x:v>2.5</x:v>
      </x:c>
      <x:c r="I36" s="30" t="n">
        <x:v>10.3</x:v>
      </x:c>
      <x:c r="J36" s="30" t="n">
        <x:v>3.6</x:v>
      </x:c>
      <x:c r="K36" s="30" t="str">
        <x:v>胃肠敏感/免疫低下时注意食品卫生或改熟食。</x:v>
      </x:c>
      <x:c r="L36" s="30" t="str">
        <x:v>换熟制蔬菜。</x:v>
      </x:c>
      <x:c r="M36" s="69" t="str">
        <x:v>肉鱼豆腐蔬果按烹调前可食部重量；烹调油按实际加入量</x:v>
      </x:c>
      <x:c r="N36" s="69" t="str">
        <x:v>组件scale必须由Ingredient Master逐食材执行化后判定；只允许列出的合法scale，禁止突破任一食材min/max/step。</x:v>
      </x:c>
      <x:c r="O36" s="69" t="str">
        <x:v>0.5×base</x:v>
      </x:c>
      <x:c r="P36" s="69" t="str">
        <x:v>1×base</x:v>
      </x:c>
      <x:c r="Q36" s="69" t="str">
        <x:v>0.25×base</x:v>
      </x:c>
      <x:c r="R36" s="69" t="str">
        <x:v>MDT原则确认</x:v>
      </x:c>
      <x:c r="S36" s="69" t="str"/>
      <x:c r="T36" s="70" t="str">
        <x:v>mixed_solanaceous_gourd</x:v>
      </x:c>
      <x:c r="U36" s="69" t="str">
        <x:v>可用</x:v>
      </x:c>
      <x:c r="V36" s="69" t="str">
        <x:v>不优先</x:v>
      </x:c>
      <x:c r="W36" s="69" t="str">
        <x:v>E/D早饱或围术期食品卫生风险时优先熟软小份，不以大体积生蔬菜挤占主食/蛋白。</x:v>
      </x:c>
      <x:c r="X36" s="41" t="str">
        <x:v>确认</x:v>
      </x:c>
      <x:c r="Y36" s="41" t="str">
        <x:v>已按Ingredient Master单一事实来源重算营养；旧组件营养值仅保留历史追溯。</x:v>
      </x:c>
      <x:c r="Z36" s="41" t="str"/>
      <x:c r="AA36" s="41" t="str"/>
      <x:c r="AB36" s="41" t="n">
        <x:v>10</x:v>
      </x:c>
      <x:c r="AC36" s="72" t="str">
        <x:v>LINEAR_VEGETABLE_LARGE_BASE</x:v>
      </x:c>
      <x:c r="AD36" s="72" t="str">
        <x:v>最终医生/患者方案必须显示g/ml/个（复合菜展开主要食材）；component_portion_scale仅后台保留。</x:v>
      </x:c>
      <x:c r="AE36" s="72" t="str">
        <x:v>候选规则（需MDT确认）</x:v>
      </x:c>
      <x:c r="AF36" s="72" t="str">
        <x:v>SRC01+SRC03+现有FOOD base recipe+SRC02</x:v>
      </x:c>
      <x:c r="AG36" s="72" t="str">
        <x:v>https://www.cnssci.net/uploads/allimg/20240607/1-24060G41PM29.pdf ; https://dg.cnsoc.org/article/04/J4-AsD_DR3OLQMnHG0-jZA.html</x:v>
      </x:c>
      <x:c r="AH36" s="30" t="str">
        <x:v>ACTIVE_RECALCULATED</x:v>
      </x:c>
      <x:c r="AI36" s="30" t="str"/>
      <x:c r="AJ36" s="30" t="str">
        <x:v>0.5,0.75,1</x:v>
      </x:c>
      <x:c r="AK36" s="30" t="str">
        <x:v>PASS</x:v>
      </x:c>
      <x:c r="AL36" s="30" t="str">
        <x:v>ACTIVE_FOR_EXACT</x:v>
      </x:c>
      <x:c r="AM36" s="30" t="n">
        <x:v>81.6</x:v>
      </x:c>
      <x:c r="AN36" s="30" t="n">
        <x:v>2.5</x:v>
      </x:c>
      <x:c r="AO36" s="30" t="n">
        <x:v>10.3</x:v>
      </x:c>
      <x:c r="AP36" s="30" t="n">
        <x:v>3.6</x:v>
      </x:c>
    </x:row>
    <x:row r="37">
      <x:c r="A37" s="30" t="str">
        <x:v>V007</x:v>
      </x:c>
      <x:c r="B37" s="30" t="str">
        <x:v>彩椒杏鲍菇</x:v>
      </x:c>
      <x:c r="C37" s="30" t="str">
        <x:v>vegetable</x:v>
      </x:c>
      <x:c r="D37" s="56" t="str">
        <x:v>unknown</x:v>
      </x:c>
      <x:c r="E37" s="30" t="str">
        <x:v>否</x:v>
      </x:c>
      <x:c r="F37" s="30" t="str">
        <x:v>彩椒100g；杏鲍菇150g；植物油5g</x:v>
      </x:c>
      <x:c r="G37" s="30" t="n">
        <x:v>124.2</x:v>
      </x:c>
      <x:c r="H37" s="30" t="n">
        <x:v>3.2</x:v>
      </x:c>
      <x:c r="I37" s="30" t="n">
        <x:v>18.9</x:v>
      </x:c>
      <x:c r="J37" s="30" t="n">
        <x:v>5.3</x:v>
      </x:c>
      <x:c r="K37" s="30" t="str">
        <x:v>无特殊。</x:v>
      </x:c>
      <x:c r="L37" s="30" t="str">
        <x:v>换香菇青菜。</x:v>
      </x:c>
      <x:c r="M37" s="69" t="str">
        <x:v>肉鱼豆腐蔬果按烹调前可食部重量；烹调油按实际加入量</x:v>
      </x:c>
      <x:c r="N37" s="69" t="str">
        <x:v>组件scale必须由Ingredient Master逐食材执行化后判定；只允许列出的合法scale，禁止突破任一食材min/max/step。</x:v>
      </x:c>
      <x:c r="O37" s="69" t="str">
        <x:v>0.5×base</x:v>
      </x:c>
      <x:c r="P37" s="69" t="str">
        <x:v>1×base</x:v>
      </x:c>
      <x:c r="Q37" s="69" t="str">
        <x:v>0.25×base</x:v>
      </x:c>
      <x:c r="R37" s="69" t="str">
        <x:v>MDT原则确认</x:v>
      </x:c>
      <x:c r="S37" s="69" t="str"/>
      <x:c r="T37" s="70" t="str">
        <x:v>mixed_solanaceous_mushroom</x:v>
      </x:c>
      <x:c r="U37" s="69" t="str">
        <x:v>可用</x:v>
      </x:c>
      <x:c r="V37" s="69" t="str">
        <x:v>条件可用</x:v>
      </x:c>
      <x:c r="W37" s="69" t="str">
        <x:v>D/E按小份、熟软、低体积执行；每日总量与整体膳食平衡，不机械追求单餐大份。</x:v>
      </x:c>
      <x:c r="X37" s="41" t="str">
        <x:v>确认</x:v>
      </x:c>
      <x:c r="Y37" s="41" t="str">
        <x:v>已按Ingredient Master单一事实来源重算营养；旧组件营养值仅保留历史追溯。</x:v>
      </x:c>
      <x:c r="Z37" s="41" t="str"/>
      <x:c r="AA37" s="41" t="str"/>
      <x:c r="AB37" s="41" t="n">
        <x:v>10</x:v>
      </x:c>
      <x:c r="AC37" s="72" t="str">
        <x:v>LINEAR_VEGETABLE_LIMITED</x:v>
      </x:c>
      <x:c r="AD37" s="72" t="str">
        <x:v>最终医生/患者方案必须显示g/ml/个（复合菜展开主要食材）；component_portion_scale仅后台保留。</x:v>
      </x:c>
      <x:c r="AE37" s="72" t="str">
        <x:v>候选规则（需MDT确认）</x:v>
      </x:c>
      <x:c r="AF37" s="72" t="str">
        <x:v>SRC01+SRC03+现有FOOD base recipe+SRC02</x:v>
      </x:c>
      <x:c r="AG37" s="72" t="str">
        <x:v>https://www.cnssci.net/uploads/allimg/20240607/1-24060G41PM29.pdf ; https://dg.cnsoc.org/article/04/J4-AsD_DR3OLQMnHG0-jZA.html</x:v>
      </x:c>
      <x:c r="AH37" s="30" t="str">
        <x:v>ACTIVE_RECALCULATED</x:v>
      </x:c>
      <x:c r="AI37" s="30" t="str"/>
      <x:c r="AJ37" s="30" t="str">
        <x:v>0.5,0.75,1</x:v>
      </x:c>
      <x:c r="AK37" s="30" t="str">
        <x:v>PASS</x:v>
      </x:c>
      <x:c r="AL37" s="30" t="str">
        <x:v>ACTIVE_FOR_EXACT</x:v>
      </x:c>
      <x:c r="AM37" s="30" t="n">
        <x:v>124.2</x:v>
      </x:c>
      <x:c r="AN37" s="30" t="n">
        <x:v>3.2</x:v>
      </x:c>
      <x:c r="AO37" s="30" t="n">
        <x:v>18.9</x:v>
      </x:c>
      <x:c r="AP37" s="30" t="n">
        <x:v>5.3</x:v>
      </x:c>
    </x:row>
    <x:row r="38">
      <x:c r="A38" s="30" t="str">
        <x:v>V008</x:v>
      </x:c>
      <x:c r="B38" s="30" t="str">
        <x:v>胡萝卜西葫芦</x:v>
      </x:c>
      <x:c r="C38" s="30" t="str">
        <x:v>vegetable</x:v>
      </x:c>
      <x:c r="D38" s="56" t="str">
        <x:v>unknown</x:v>
      </x:c>
      <x:c r="E38" s="30" t="str">
        <x:v>否</x:v>
      </x:c>
      <x:c r="F38" s="30" t="str">
        <x:v>胡萝卜80g；西葫芦180g；植物油5g</x:v>
      </x:c>
      <x:c r="G38" s="30" t="n">
        <x:v>110.7</x:v>
      </x:c>
      <x:c r="H38" s="30" t="n">
        <x:v>2.2</x:v>
      </x:c>
      <x:c r="I38" s="30" t="n">
        <x:v>13.9</x:v>
      </x:c>
      <x:c r="J38" s="30" t="n">
        <x:v>5.5</x:v>
      </x:c>
      <x:c r="K38" s="30" t="str">
        <x:v>无特殊。</x:v>
      </x:c>
      <x:c r="L38" s="30" t="str">
        <x:v>换冬瓜/圆白菜。</x:v>
      </x:c>
      <x:c r="M38" s="69" t="str">
        <x:v>肉鱼豆腐蔬果按烹调前可食部重量；烹调油按实际加入量</x:v>
      </x:c>
      <x:c r="N38" s="69" t="str">
        <x:v>组件scale必须由Ingredient Master逐食材执行化后判定；只允许列出的合法scale，禁止突破任一食材min/max/step。</x:v>
      </x:c>
      <x:c r="O38" s="69" t="str">
        <x:v>0.5×base</x:v>
      </x:c>
      <x:c r="P38" s="69" t="str">
        <x:v>1.25×base</x:v>
      </x:c>
      <x:c r="Q38" s="69" t="str">
        <x:v>0.25×base</x:v>
      </x:c>
      <x:c r="R38" s="69" t="str">
        <x:v>MDT原则确认</x:v>
      </x:c>
      <x:c r="S38" s="69" t="str"/>
      <x:c r="T38" s="70" t="str">
        <x:v>mixed_root_gourd</x:v>
      </x:c>
      <x:c r="U38" s="69" t="str">
        <x:v>可用</x:v>
      </x:c>
      <x:c r="V38" s="69" t="str">
        <x:v>条件可用</x:v>
      </x:c>
      <x:c r="W38" s="69" t="str">
        <x:v>D/E按小份、熟软、低体积执行；每日总量与整体膳食平衡，不机械追求单餐大份。</x:v>
      </x:c>
      <x:c r="X38" s="41" t="str">
        <x:v>确认</x:v>
      </x:c>
      <x:c r="Y38" s="41" t="str">
        <x:v>已按Ingredient Master单一事实来源重算营养；旧组件营养值仅保留历史追溯。</x:v>
      </x:c>
      <x:c r="Z38" s="41" t="str"/>
      <x:c r="AA38" s="41" t="str"/>
      <x:c r="AB38" s="41" t="n">
        <x:v>10</x:v>
      </x:c>
      <x:c r="AC38" s="72" t="str">
        <x:v>LINEAR_VEGETABLE_LIMITED</x:v>
      </x:c>
      <x:c r="AD38" s="72" t="str">
        <x:v>最终医生/患者方案必须显示g/ml/个（复合菜展开主要食材）；component_portion_scale仅后台保留。</x:v>
      </x:c>
      <x:c r="AE38" s="72" t="str">
        <x:v>候选规则（需MDT确认）</x:v>
      </x:c>
      <x:c r="AF38" s="72" t="str">
        <x:v>SRC01+SRC03+现有FOOD base recipe+SRC02</x:v>
      </x:c>
      <x:c r="AG38" s="72" t="str">
        <x:v>https://www.cnssci.net/uploads/allimg/20240607/1-24060G41PM29.pdf ; https://dg.cnsoc.org/article/04/J4-AsD_DR3OLQMnHG0-jZA.html</x:v>
      </x:c>
      <x:c r="AH38" s="30" t="str">
        <x:v>ACTIVE_RECALCULATED</x:v>
      </x:c>
      <x:c r="AI38" s="30" t="str"/>
      <x:c r="AJ38" s="30" t="str">
        <x:v>0.5,0.75,1,1.25</x:v>
      </x:c>
      <x:c r="AK38" s="30" t="str">
        <x:v>PASS</x:v>
      </x:c>
      <x:c r="AL38" s="30" t="str">
        <x:v>ACTIVE_FOR_EXACT</x:v>
      </x:c>
      <x:c r="AM38" s="30" t="n">
        <x:v>110.7</x:v>
      </x:c>
      <x:c r="AN38" s="30" t="n">
        <x:v>2.2</x:v>
      </x:c>
      <x:c r="AO38" s="30" t="n">
        <x:v>13.9</x:v>
      </x:c>
      <x:c r="AP38" s="30" t="n">
        <x:v>5.5</x:v>
      </x:c>
    </x:row>
    <x:row r="39">
      <x:c r="A39" s="30" t="str">
        <x:v>V009</x:v>
      </x:c>
      <x:c r="B39" s="30" t="str">
        <x:v>冬瓜香菇</x:v>
      </x:c>
      <x:c r="C39" s="30" t="str">
        <x:v>vegetable</x:v>
      </x:c>
      <x:c r="D39" s="56" t="str">
        <x:v>unknown</x:v>
      </x:c>
      <x:c r="E39" s="30" t="str">
        <x:v>否</x:v>
      </x:c>
      <x:c r="F39" s="30" t="str">
        <x:v>冬瓜250g；香菇鲜60g；植物油4g</x:v>
      </x:c>
      <x:c r="G39" s="30" t="n">
        <x:v>82.4</x:v>
      </x:c>
      <x:c r="H39" s="30" t="n">
        <x:v>2.3</x:v>
      </x:c>
      <x:c r="I39" s="30" t="n">
        <x:v>9.6</x:v>
      </x:c>
      <x:c r="J39" s="30" t="n">
        <x:v>4.7</x:v>
      </x:c>
      <x:c r="K39" s="30" t="str">
        <x:v>无特殊。</x:v>
      </x:c>
      <x:c r="L39" s="30" t="str">
        <x:v>换西葫芦。</x:v>
      </x:c>
      <x:c r="M39" s="69" t="str">
        <x:v>肉鱼豆腐蔬果按烹调前可食部重量；烹调油按实际加入量</x:v>
      </x:c>
      <x:c r="N39" s="69" t="str">
        <x:v>组件scale必须由Ingredient Master逐食材执行化后判定；只允许列出的合法scale，禁止突破任一食材min/max/step。</x:v>
      </x:c>
      <x:c r="O39" s="69" t="str">
        <x:v>0.5×base</x:v>
      </x:c>
      <x:c r="P39" s="69" t="str">
        <x:v>1×base</x:v>
      </x:c>
      <x:c r="Q39" s="69" t="str">
        <x:v>0.25×base</x:v>
      </x:c>
      <x:c r="R39" s="69" t="str">
        <x:v>MDT原则确认</x:v>
      </x:c>
      <x:c r="S39" s="69" t="str"/>
      <x:c r="T39" s="70" t="str">
        <x:v>mixed_gourd_mushroom</x:v>
      </x:c>
      <x:c r="U39" s="69" t="str">
        <x:v>可用</x:v>
      </x:c>
      <x:c r="V39" s="69" t="str">
        <x:v>条件可用</x:v>
      </x:c>
      <x:c r="W39" s="69" t="str">
        <x:v>D/E按小份、熟软、低体积执行；每日总量与整体膳食平衡，不机械追求单餐大份。</x:v>
      </x:c>
      <x:c r="X39" s="41" t="str">
        <x:v>确认</x:v>
      </x:c>
      <x:c r="Y39" s="41" t="str">
        <x:v>已按Ingredient Master单一事实来源重算营养；旧组件营养值仅保留历史追溯。</x:v>
      </x:c>
      <x:c r="Z39" s="41" t="str"/>
      <x:c r="AA39" s="41" t="str"/>
      <x:c r="AB39" s="41" t="n">
        <x:v>10</x:v>
      </x:c>
      <x:c r="AC39" s="72" t="str">
        <x:v>LINEAR_VEGETABLE_LARGE_BASE</x:v>
      </x:c>
      <x:c r="AD39" s="72" t="str">
        <x:v>最终医生/患者方案必须显示g/ml/个（复合菜展开主要食材）；component_portion_scale仅后台保留。</x:v>
      </x:c>
      <x:c r="AE39" s="72" t="str">
        <x:v>候选规则（需MDT确认）</x:v>
      </x:c>
      <x:c r="AF39" s="72" t="str">
        <x:v>SRC01+SRC03+现有FOOD base recipe+SRC02</x:v>
      </x:c>
      <x:c r="AG39" s="72" t="str">
        <x:v>https://www.cnssci.net/uploads/allimg/20240607/1-24060G41PM29.pdf ; https://dg.cnsoc.org/article/04/J4-AsD_DR3OLQMnHG0-jZA.html</x:v>
      </x:c>
      <x:c r="AH39" s="30" t="str">
        <x:v>ACTIVE_RECALCULATED</x:v>
      </x:c>
      <x:c r="AI39" s="30" t="str"/>
      <x:c r="AJ39" s="30" t="str">
        <x:v>0.5,0.75,1</x:v>
      </x:c>
      <x:c r="AK39" s="30" t="str">
        <x:v>PASS</x:v>
      </x:c>
      <x:c r="AL39" s="30" t="str">
        <x:v>ACTIVE_FOR_EXACT</x:v>
      </x:c>
      <x:c r="AM39" s="30" t="n">
        <x:v>82.4</x:v>
      </x:c>
      <x:c r="AN39" s="30" t="n">
        <x:v>2.3</x:v>
      </x:c>
      <x:c r="AO39" s="30" t="n">
        <x:v>9.6</x:v>
      </x:c>
      <x:c r="AP39" s="30" t="n">
        <x:v>4.7</x:v>
      </x:c>
    </x:row>
    <x:row r="40">
      <x:c r="A40" s="30" t="str">
        <x:v>V010</x:v>
      </x:c>
      <x:c r="B40" s="30" t="str">
        <x:v>少油烧茄子</x:v>
      </x:c>
      <x:c r="C40" s="30" t="str">
        <x:v>vegetable</x:v>
      </x:c>
      <x:c r="D40" s="56" t="str">
        <x:v>unknown</x:v>
      </x:c>
      <x:c r="E40" s="30" t="str">
        <x:v>否</x:v>
      </x:c>
      <x:c r="F40" s="30" t="str">
        <x:v>茄子200g；植物油6g</x:v>
      </x:c>
      <x:c r="G40" s="30" t="n">
        <x:v>100.8</x:v>
      </x:c>
      <x:c r="H40" s="30" t="n">
        <x:v>2.2</x:v>
      </x:c>
      <x:c r="I40" s="30" t="n">
        <x:v>9.8</x:v>
      </x:c>
      <x:c r="J40" s="30" t="n">
        <x:v>6.4</x:v>
      </x:c>
      <x:c r="K40" s="30" t="str">
        <x:v>传统油炸烧茄子不作为默认。</x:v>
      </x:c>
      <x:c r="L40" s="30" t="str">
        <x:v>换圆白菜/西葫芦。</x:v>
      </x:c>
      <x:c r="M40" s="69" t="str">
        <x:v>肉鱼豆腐蔬果按烹调前可食部重量；烹调油按实际加入量</x:v>
      </x:c>
      <x:c r="N40" s="69" t="str">
        <x:v>组件scale必须由Ingredient Master逐食材执行化后判定；只允许列出的合法scale，禁止突破任一食材min/max/step。</x:v>
      </x:c>
      <x:c r="O40" s="69" t="str">
        <x:v>0.5×base</x:v>
      </x:c>
      <x:c r="P40" s="69" t="str">
        <x:v>1.25×base</x:v>
      </x:c>
      <x:c r="Q40" s="69" t="str">
        <x:v>0.25×base</x:v>
      </x:c>
      <x:c r="R40" s="69" t="str">
        <x:v>MDT原则确认</x:v>
      </x:c>
      <x:c r="S40" s="69" t="str"/>
      <x:c r="T40" s="70" t="str">
        <x:v>solanaceous</x:v>
      </x:c>
      <x:c r="U40" s="69" t="str">
        <x:v>可用</x:v>
      </x:c>
      <x:c r="V40" s="69" t="str">
        <x:v>条件可用</x:v>
      </x:c>
      <x:c r="W40" s="69" t="str">
        <x:v>D/E按小份、熟软、低体积执行；每日总量与整体膳食平衡，不机械追求单餐大份。</x:v>
      </x:c>
      <x:c r="X40" s="41" t="str">
        <x:v>确认</x:v>
      </x:c>
      <x:c r="Y40" s="41" t="str">
        <x:v>已按Ingredient Master单一事实来源重算营养；旧组件营养值仅保留历史追溯。</x:v>
      </x:c>
      <x:c r="Z40" s="41" t="str"/>
      <x:c r="AA40" s="41" t="str"/>
      <x:c r="AB40" s="41" t="n">
        <x:v>10</x:v>
      </x:c>
      <x:c r="AC40" s="72" t="str">
        <x:v>LINEAR_VEGETABLE_LIMITED</x:v>
      </x:c>
      <x:c r="AD40" s="72" t="str">
        <x:v>最终医生/患者方案必须显示g/ml/个（复合菜展开主要食材）；component_portion_scale仅后台保留。</x:v>
      </x:c>
      <x:c r="AE40" s="72" t="str">
        <x:v>候选规则（需MDT确认）</x:v>
      </x:c>
      <x:c r="AF40" s="72" t="str">
        <x:v>SRC01+SRC03+现有FOOD base recipe+SRC02</x:v>
      </x:c>
      <x:c r="AG40" s="72" t="str">
        <x:v>https://www.cnssci.net/uploads/allimg/20240607/1-24060G41PM29.pdf ; https://dg.cnsoc.org/article/04/J4-AsD_DR3OLQMnHG0-jZA.html</x:v>
      </x:c>
      <x:c r="AH40" s="30" t="str">
        <x:v>ACTIVE_RECALCULATED</x:v>
      </x:c>
      <x:c r="AI40" s="30" t="str"/>
      <x:c r="AJ40" s="30" t="str">
        <x:v>0.5,0.75,1,1.25</x:v>
      </x:c>
      <x:c r="AK40" s="30" t="str">
        <x:v>PASS</x:v>
      </x:c>
      <x:c r="AL40" s="30" t="str">
        <x:v>ACTIVE_FOR_EXACT</x:v>
      </x:c>
      <x:c r="AM40" s="30" t="n">
        <x:v>100.8</x:v>
      </x:c>
      <x:c r="AN40" s="30" t="n">
        <x:v>2.2</x:v>
      </x:c>
      <x:c r="AO40" s="30" t="n">
        <x:v>9.8</x:v>
      </x:c>
      <x:c r="AP40" s="30" t="n">
        <x:v>6.4</x:v>
      </x:c>
    </x:row>
    <x:row r="41">
      <x:c r="A41" s="30" t="str">
        <x:v>V011</x:v>
      </x:c>
      <x:c r="B41" s="30" t="str">
        <x:v>生菜番茄沙拉（中式清拌）</x:v>
      </x:c>
      <x:c r="C41" s="30" t="str">
        <x:v>vegetable</x:v>
      </x:c>
      <x:c r="D41" s="56" t="str">
        <x:v>unknown</x:v>
      </x:c>
      <x:c r="E41" s="30" t="str">
        <x:v>否</x:v>
      </x:c>
      <x:c r="F41" s="30" t="str">
        <x:v>生菜150g；番茄150g；植物油3g</x:v>
      </x:c>
      <x:c r="G41" s="30" t="n">
        <x:v>79.8</x:v>
      </x:c>
      <x:c r="H41" s="30" t="n">
        <x:v>3.3</x:v>
      </x:c>
      <x:c r="I41" s="30" t="n">
        <x:v>9</x:v>
      </x:c>
      <x:c r="J41" s="30" t="n">
        <x:v>3.8</x:v>
      </x:c>
      <x:c r="K41" s="30" t="str">
        <x:v>围手术期免疫低下或食品卫生风险高时改熟食。</x:v>
      </x:c>
      <x:c r="L41" s="30" t="str">
        <x:v>换熟西兰花/菠菜。</x:v>
      </x:c>
      <x:c r="M41" s="69" t="str">
        <x:v>肉鱼豆腐蔬果按烹调前可食部重量；烹调油按实际加入量</x:v>
      </x:c>
      <x:c r="N41" s="69" t="str">
        <x:v>组件scale必须由Ingredient Master逐食材执行化后判定；只允许列出的合法scale，禁止突破任一食材min/max/step。</x:v>
      </x:c>
      <x:c r="O41" s="69" t="str">
        <x:v>0.5×base</x:v>
      </x:c>
      <x:c r="P41" s="69" t="str">
        <x:v>1×base</x:v>
      </x:c>
      <x:c r="Q41" s="69" t="str">
        <x:v>0.25×base</x:v>
      </x:c>
      <x:c r="R41" s="69" t="str">
        <x:v>MDT原则确认</x:v>
      </x:c>
      <x:c r="S41" s="69" t="str"/>
      <x:c r="T41" s="70" t="str">
        <x:v>mixed_raw_leafy_solanaceous</x:v>
      </x:c>
      <x:c r="U41" s="69" t="str">
        <x:v>可用</x:v>
      </x:c>
      <x:c r="V41" s="69" t="str">
        <x:v>不优先</x:v>
      </x:c>
      <x:c r="W41" s="69" t="str">
        <x:v>E/D早饱或围术期食品卫生风险时优先熟软小份，不以大体积生蔬菜挤占主食/蛋白。</x:v>
      </x:c>
      <x:c r="X41" s="41" t="str">
        <x:v>确认</x:v>
      </x:c>
      <x:c r="Y41" s="41" t="str">
        <x:v>已按Ingredient Master单一事实来源重算营养；旧组件营养值仅保留历史追溯。</x:v>
      </x:c>
      <x:c r="Z41" s="41" t="str"/>
      <x:c r="AA41" s="41" t="str"/>
      <x:c r="AB41" s="41" t="n">
        <x:v>10</x:v>
      </x:c>
      <x:c r="AC41" s="72" t="str">
        <x:v>LINEAR_VEGETABLE_LARGE_BASE</x:v>
      </x:c>
      <x:c r="AD41" s="72" t="str">
        <x:v>最终医生/患者方案必须显示g/ml/个（复合菜展开主要食材）；component_portion_scale仅后台保留。</x:v>
      </x:c>
      <x:c r="AE41" s="72" t="str">
        <x:v>候选规则（需MDT确认）</x:v>
      </x:c>
      <x:c r="AF41" s="72" t="str">
        <x:v>SRC01+SRC03+现有FOOD base recipe+SRC02</x:v>
      </x:c>
      <x:c r="AG41" s="72" t="str">
        <x:v>https://www.cnssci.net/uploads/allimg/20240607/1-24060G41PM29.pdf ; https://dg.cnsoc.org/article/04/J4-AsD_DR3OLQMnHG0-jZA.html</x:v>
      </x:c>
      <x:c r="AH41" s="30" t="str">
        <x:v>ACTIVE_RECALCULATED</x:v>
      </x:c>
      <x:c r="AI41" s="30" t="str"/>
      <x:c r="AJ41" s="30" t="str">
        <x:v>0.5,0.75,1</x:v>
      </x:c>
      <x:c r="AK41" s="30" t="str">
        <x:v>PASS</x:v>
      </x:c>
      <x:c r="AL41" s="30" t="str">
        <x:v>ACTIVE_FOR_EXACT</x:v>
      </x:c>
      <x:c r="AM41" s="30" t="n">
        <x:v>79.8</x:v>
      </x:c>
      <x:c r="AN41" s="30" t="n">
        <x:v>3.3</x:v>
      </x:c>
      <x:c r="AO41" s="30" t="n">
        <x:v>9</x:v>
      </x:c>
      <x:c r="AP41" s="30" t="n">
        <x:v>3.8</x:v>
      </x:c>
    </x:row>
    <x:row r="42">
      <x:c r="A42" s="30" t="str">
        <x:v>V012</x:v>
      </x:c>
      <x:c r="B42" s="30" t="str">
        <x:v>西兰花胡萝卜双蔬</x:v>
      </x:c>
      <x:c r="C42" s="30" t="str">
        <x:v>vegetable</x:v>
      </x:c>
      <x:c r="D42" s="56" t="str">
        <x:v>unknown</x:v>
      </x:c>
      <x:c r="E42" s="30" t="str">
        <x:v>否</x:v>
      </x:c>
      <x:c r="F42" s="30" t="str">
        <x:v>西兰花150g；胡萝卜80g；植物油5g</x:v>
      </x:c>
      <x:c r="G42" s="30" t="n">
        <x:v>130.5</x:v>
      </x:c>
      <x:c r="H42" s="30" t="n">
        <x:v>7</x:v>
      </x:c>
      <x:c r="I42" s="30" t="n">
        <x:v>13.5</x:v>
      </x:c>
      <x:c r="J42" s="30" t="n">
        <x:v>6.1</x:v>
      </x:c>
      <x:c r="K42" s="30" t="str">
        <x:v>无特殊。</x:v>
      </x:c>
      <x:c r="L42" s="30" t="str">
        <x:v>换任意两种非淀粉蔬菜。</x:v>
      </x:c>
      <x:c r="M42" s="69" t="str">
        <x:v>肉鱼豆腐蔬果按烹调前可食部重量；烹调油按实际加入量</x:v>
      </x:c>
      <x:c r="N42" s="69" t="str">
        <x:v>组件scale必须由Ingredient Master逐食材执行化后判定；只允许列出的合法scale，禁止突破任一食材min/max/step。</x:v>
      </x:c>
      <x:c r="O42" s="69" t="str">
        <x:v>0.5×base</x:v>
      </x:c>
      <x:c r="P42" s="69" t="str">
        <x:v>1.25×base</x:v>
      </x:c>
      <x:c r="Q42" s="69" t="str">
        <x:v>0.25×base</x:v>
      </x:c>
      <x:c r="R42" s="69" t="str">
        <x:v>MDT原则确认</x:v>
      </x:c>
      <x:c r="S42" s="69" t="str"/>
      <x:c r="T42" s="70" t="str">
        <x:v>mixed_flower_root</x:v>
      </x:c>
      <x:c r="U42" s="69" t="str">
        <x:v>可用</x:v>
      </x:c>
      <x:c r="V42" s="69" t="str">
        <x:v>条件可用</x:v>
      </x:c>
      <x:c r="W42" s="69" t="str">
        <x:v>D/E按小份、熟软、低体积执行；每日总量与整体膳食平衡，不机械追求单餐大份。</x:v>
      </x:c>
      <x:c r="X42" s="41" t="str">
        <x:v>确认</x:v>
      </x:c>
      <x:c r="Y42" s="41" t="str">
        <x:v>已按Ingredient Master单一事实来源重算营养；旧组件营养值仅保留历史追溯。</x:v>
      </x:c>
      <x:c r="Z42" s="41" t="str"/>
      <x:c r="AA42" s="41" t="str"/>
      <x:c r="AB42" s="41" t="n">
        <x:v>10</x:v>
      </x:c>
      <x:c r="AC42" s="72" t="str">
        <x:v>LINEAR_VEGETABLE_LIMITED</x:v>
      </x:c>
      <x:c r="AD42" s="72" t="str">
        <x:v>最终医生/患者方案必须显示g/ml/个（复合菜展开主要食材）；component_portion_scale仅后台保留。</x:v>
      </x:c>
      <x:c r="AE42" s="72" t="str">
        <x:v>候选规则（需MDT确认）</x:v>
      </x:c>
      <x:c r="AF42" s="72" t="str">
        <x:v>SRC01+SRC03+现有FOOD base recipe+SRC02</x:v>
      </x:c>
      <x:c r="AG42" s="72" t="str">
        <x:v>https://www.cnssci.net/uploads/allimg/20240607/1-24060G41PM29.pdf ; https://dg.cnsoc.org/article/04/J4-AsD_DR3OLQMnHG0-jZA.html</x:v>
      </x:c>
      <x:c r="AH42" s="30" t="str">
        <x:v>ACTIVE_RECALCULATED</x:v>
      </x:c>
      <x:c r="AI42" s="30" t="str"/>
      <x:c r="AJ42" s="30" t="str">
        <x:v>0.5,0.75,1,1.25</x:v>
      </x:c>
      <x:c r="AK42" s="30" t="str">
        <x:v>PASS</x:v>
      </x:c>
      <x:c r="AL42" s="30" t="str">
        <x:v>ACTIVE_FOR_EXACT</x:v>
      </x:c>
      <x:c r="AM42" s="30" t="n">
        <x:v>130.5</x:v>
      </x:c>
      <x:c r="AN42" s="30" t="n">
        <x:v>7</x:v>
      </x:c>
      <x:c r="AO42" s="30" t="n">
        <x:v>13.5</x:v>
      </x:c>
      <x:c r="AP42" s="30" t="n">
        <x:v>6.1</x:v>
      </x:c>
    </x:row>
    <x:row r="43">
      <x:c r="A43" s="30" t="str">
        <x:v>S001</x:v>
      </x:c>
      <x:c r="B43" s="30" t="str">
        <x:v>低脂奶+苹果</x:v>
      </x:c>
      <x:c r="C43" s="30" t="str">
        <x:v>snack</x:v>
      </x:c>
      <x:c r="D43" s="30" t="str">
        <x:v>mixed_snack</x:v>
      </x:c>
      <x:c r="E43" s="48" t="str">
        <x:v>是</x:v>
      </x:c>
      <x:c r="F43" s="48" t="str">
        <x:v>低脂牛奶200ml；苹果120g</x:v>
      </x:c>
      <x:c r="G43" s="48" t="n">
        <x:v>156</x:v>
      </x:c>
      <x:c r="H43" s="48" t="n">
        <x:v>7.1</x:v>
      </x:c>
      <x:c r="I43" s="48" t="n">
        <x:v>26</x:v>
      </x:c>
      <x:c r="J43" s="48" t="n">
        <x:v>3.2</x:v>
      </x:c>
      <x:c r="K43" s="48" t="str">
        <x:v>乳糖不耐受者换无乳糖奶/豆浆。</x:v>
      </x:c>
      <x:c r="L43" s="48" t="str">
        <x:v>苹果可换梨/橙。</x:v>
      </x:c>
      <x:c r="M43" s="68" t="str">
        <x:v>奶/豆浆按包装容量；肉鱼豆腐蔬果按烹调前可食部重量</x:v>
      </x:c>
      <x:c r="N43" s="68" t="str">
        <x:v>固定scale；仅允许1.0×base。若需改变总量，换组件或拆分/重构后重算。</x:v>
      </x:c>
      <x:c r="O43" s="68" t="str">
        <x:v>1×base</x:v>
      </x:c>
      <x:c r="P43" s="68" t="str">
        <x:v>1×base</x:v>
      </x:c>
      <x:c r="Q43" s="68" t="str">
        <x:v>固定</x:v>
      </x:c>
      <x:c r="R43" s="68" t="str">
        <x:v>MDT原则确认</x:v>
      </x:c>
      <x:c r="S43" s="68" t="str"/>
      <x:c r="T43" s="68" t="str"/>
      <x:c r="U43" s="68" t="str">
        <x:v>推荐</x:v>
      </x:c>
      <x:c r="V43" s="68" t="str">
        <x:v>推荐</x:v>
      </x:c>
      <x:c r="W43" s="68" t="str">
        <x:v>固定加餐组件；E型可用于分散摄入，但整组件不直接按0.75/1.25倍缩放。</x:v>
      </x:c>
      <x:c r="X43" s="41" t="str">
        <x:v>规则确认，来源待补</x:v>
      </x:c>
      <x:c r="Y43" s="41" t="str">
        <x:v>份量/执行规则已确认；含未完成营养来源/产品/身份确认的基础食材，禁止用于EXACT营养闭合。</x:v>
      </x:c>
      <x:c r="Z43" s="41" t="str"/>
      <x:c r="AA43" s="41" t="str"/>
      <x:c r="AB43" s="41" t="n">
        <x:v>11</x:v>
      </x:c>
      <x:c r="AC43" s="72" t="str">
        <x:v>FIXED_COMPOSITE_NO_DIRECT_SCALING</x:v>
      </x:c>
      <x:c r="AD43" s="72" t="str">
        <x:v>最终医生/患者方案必须显示g/ml/个（复合菜展开主要食材）；component_portion_scale仅后台保留。</x:v>
      </x:c>
      <x:c r="AE43" s="72" t="str">
        <x:v>候选规则（需MDT确认）</x:v>
      </x:c>
      <x:c r="AF43" s="72" t="str">
        <x:v>SRC01+SRC03+现有FOOD base recipe+SRC05/SRC06（围术期覆盖）</x:v>
      </x:c>
      <x:c r="AG43" s="72" t="str">
        <x:v>https://www.cnssci.net/uploads/allimg/20240607/1-24060G41PM29.pdf ; https://dg.cnsoc.org/article/04/J4-AsD_DR3OLQMnHG0-jZA.html</x:v>
      </x:c>
      <x:c r="AH43" s="30" t="str">
        <x:v>NEEDS_SOURCE_RECALC</x:v>
      </x:c>
      <x:c r="AI43" s="30" t="str">
        <x:v>低脂牛奶</x:v>
      </x:c>
      <x:c r="AJ43" s="30" t="str">
        <x:v>1</x:v>
      </x:c>
      <x:c r="AK43" s="30" t="str">
        <x:v>PASS</x:v>
      </x:c>
      <x:c r="AL43" s="30" t="str">
        <x:v>RULE_APPROVED_SOURCE_PENDING</x:v>
      </x:c>
      <x:c r="AM43" s="30" t="n">
        <x:v>152.6</x:v>
      </x:c>
      <x:c r="AN43" s="30" t="n">
        <x:v>6</x:v>
      </x:c>
      <x:c r="AO43" s="30" t="n">
        <x:v>26.2</x:v>
      </x:c>
      <x:c r="AP43" s="30" t="n">
        <x:v>2.8</x:v>
      </x:c>
    </x:row>
    <x:row r="44">
      <x:c r="A44" s="30" t="str">
        <x:v>S002</x:v>
      </x:c>
      <x:c r="B44" s="30" t="str">
        <x:v>无糖酸奶+草莓</x:v>
      </x:c>
      <x:c r="C44" s="30" t="str">
        <x:v>snack</x:v>
      </x:c>
      <x:c r="D44" s="30" t="str">
        <x:v>mixed_snack</x:v>
      </x:c>
      <x:c r="E44" s="48" t="str">
        <x:v>是</x:v>
      </x:c>
      <x:c r="F44" s="48" t="str">
        <x:v>无糖酸奶150g；草莓150g</x:v>
      </x:c>
      <x:c r="G44" s="48" t="n">
        <x:v>141</x:v>
      </x:c>
      <x:c r="H44" s="48" t="n">
        <x:v>6.7</x:v>
      </x:c>
      <x:c r="I44" s="48" t="n">
        <x:v>19.1</x:v>
      </x:c>
      <x:c r="J44" s="48" t="n">
        <x:v>5</x:v>
      </x:c>
      <x:c r="K44" s="48" t="str">
        <x:v>乳糖不耐受按耐受调整。</x:v>
      </x:c>
      <x:c r="L44" s="48" t="str">
        <x:v>草莓换猕猴桃。</x:v>
      </x:c>
      <x:c r="M44" s="68" t="str">
        <x:v>酸奶按包装净含量g；肉鱼豆腐蔬果按烹调前可食部重量</x:v>
      </x:c>
      <x:c r="N44" s="68" t="str">
        <x:v>固定scale；仅允许1.0×base。若需改变总量，换组件或拆分/重构后重算。</x:v>
      </x:c>
      <x:c r="O44" s="68" t="str">
        <x:v>1×base</x:v>
      </x:c>
      <x:c r="P44" s="68" t="str">
        <x:v>1×base</x:v>
      </x:c>
      <x:c r="Q44" s="68" t="str">
        <x:v>固定</x:v>
      </x:c>
      <x:c r="R44" s="68" t="str">
        <x:v>MDT原则确认</x:v>
      </x:c>
      <x:c r="S44" s="68" t="str"/>
      <x:c r="T44" s="68" t="str"/>
      <x:c r="U44" s="68" t="str">
        <x:v>推荐</x:v>
      </x:c>
      <x:c r="V44" s="68" t="str">
        <x:v>推荐</x:v>
      </x:c>
      <x:c r="W44" s="68" t="str">
        <x:v>固定加餐组件；E型可用于分散摄入，但整组件不直接按0.75/1.25倍缩放。</x:v>
      </x:c>
      <x:c r="X44" s="41" t="str">
        <x:v>规则确认，来源待补</x:v>
      </x:c>
      <x:c r="Y44" s="41" t="str">
        <x:v>份量/执行规则已确认；含未完成营养来源/产品/身份确认的基础食材，禁止用于EXACT营养闭合。</x:v>
      </x:c>
      <x:c r="Z44" s="41" t="str"/>
      <x:c r="AA44" s="41" t="str"/>
      <x:c r="AB44" s="41" t="n">
        <x:v>11</x:v>
      </x:c>
      <x:c r="AC44" s="72" t="str">
        <x:v>FIXED_COMPOSITE_NO_DIRECT_SCALING</x:v>
      </x:c>
      <x:c r="AD44" s="72" t="str">
        <x:v>最终医生/患者方案必须显示g/ml/个（复合菜展开主要食材）；component_portion_scale仅后台保留。</x:v>
      </x:c>
      <x:c r="AE44" s="72" t="str">
        <x:v>候选规则（需MDT确认）</x:v>
      </x:c>
      <x:c r="AF44" s="72" t="str">
        <x:v>SRC01+SRC03+现有FOOD base recipe+SRC05/SRC06（围术期覆盖）</x:v>
      </x:c>
      <x:c r="AG44" s="72" t="str">
        <x:v>https://www.cnssci.net/uploads/allimg/20240607/1-24060G41PM29.pdf ; https://dg.cnsoc.org/article/04/J4-AsD_DR3OLQMnHG0-jZA.html</x:v>
      </x:c>
      <x:c r="AH44" s="30" t="str">
        <x:v>NEEDS_SOURCE_RECALC</x:v>
      </x:c>
      <x:c r="AI44" s="30" t="str">
        <x:v>无糖酸奶</x:v>
      </x:c>
      <x:c r="AJ44" s="30" t="str">
        <x:v>1</x:v>
      </x:c>
      <x:c r="AK44" s="30" t="str">
        <x:v>PASS</x:v>
      </x:c>
      <x:c r="AL44" s="30" t="str">
        <x:v>RULE_APPROVED_SOURCE_PENDING</x:v>
      </x:c>
      <x:c r="AM44" s="30"/>
      <x:c r="AN44" s="30"/>
      <x:c r="AO44" s="30"/>
      <x:c r="AP44" s="30"/>
    </x:row>
    <x:row r="45">
      <x:c r="A45" s="30" t="str">
        <x:v>S003</x:v>
      </x:c>
      <x:c r="B45" s="30" t="str">
        <x:v>无糖豆浆+梨</x:v>
      </x:c>
      <x:c r="C45" s="30" t="str">
        <x:v>snack</x:v>
      </x:c>
      <x:c r="D45" s="30" t="str">
        <x:v>mixed_snack</x:v>
      </x:c>
      <x:c r="E45" s="48" t="str">
        <x:v>是</x:v>
      </x:c>
      <x:c r="F45" s="48" t="str">
        <x:v>无糖豆浆250ml；梨120g</x:v>
      </x:c>
      <x:c r="G45" s="48" t="n">
        <x:v>139</x:v>
      </x:c>
      <x:c r="H45" s="48" t="n">
        <x:v>8</x:v>
      </x:c>
      <x:c r="I45" s="48" t="n">
        <x:v>18.7</x:v>
      </x:c>
      <x:c r="J45" s="48" t="n">
        <x:v>4.1</x:v>
      </x:c>
      <x:c r="K45" s="48" t="str">
        <x:v>大豆过敏禁用。</x:v>
      </x:c>
      <x:c r="L45" s="48" t="str">
        <x:v>豆浆换低脂奶。</x:v>
      </x:c>
      <x:c r="M45" s="68" t="str">
        <x:v>奶/豆浆按包装容量；肉鱼豆腐蔬果按烹调前可食部重量</x:v>
      </x:c>
      <x:c r="N45" s="68" t="str">
        <x:v>固定scale；仅允许1.0×base。若需改变总量，换组件或拆分/重构后重算。</x:v>
      </x:c>
      <x:c r="O45" s="68" t="str">
        <x:v>1×base</x:v>
      </x:c>
      <x:c r="P45" s="68" t="str">
        <x:v>1×base</x:v>
      </x:c>
      <x:c r="Q45" s="68" t="str">
        <x:v>固定</x:v>
      </x:c>
      <x:c r="R45" s="68" t="str">
        <x:v>MDT原则确认</x:v>
      </x:c>
      <x:c r="S45" s="68" t="str"/>
      <x:c r="T45" s="68" t="str"/>
      <x:c r="U45" s="68" t="str">
        <x:v>推荐</x:v>
      </x:c>
      <x:c r="V45" s="68" t="str">
        <x:v>推荐</x:v>
      </x:c>
      <x:c r="W45" s="68" t="str">
        <x:v>固定加餐组件；E型可用于分散摄入，但整组件不直接按0.75/1.25倍缩放。</x:v>
      </x:c>
      <x:c r="X45" s="41" t="str">
        <x:v>规则确认，来源待补</x:v>
      </x:c>
      <x:c r="Y45" s="41" t="str">
        <x:v>份量/执行规则已确认；含未完成营养来源/产品/身份确认的基础食材，禁止用于EXACT营养闭合。</x:v>
      </x:c>
      <x:c r="Z45" s="41" t="str"/>
      <x:c r="AA45" s="41" t="str"/>
      <x:c r="AB45" s="41" t="n">
        <x:v>11</x:v>
      </x:c>
      <x:c r="AC45" s="72" t="str">
        <x:v>FIXED_COMPOSITE_NO_DIRECT_SCALING</x:v>
      </x:c>
      <x:c r="AD45" s="72" t="str">
        <x:v>最终医生/患者方案必须显示g/ml/个（复合菜展开主要食材）；component_portion_scale仅后台保留。</x:v>
      </x:c>
      <x:c r="AE45" s="72" t="str">
        <x:v>候选规则（需MDT确认）</x:v>
      </x:c>
      <x:c r="AF45" s="72" t="str">
        <x:v>SRC01+SRC03+现有FOOD base recipe+SRC05/SRC06（围术期覆盖）</x:v>
      </x:c>
      <x:c r="AG45" s="72" t="str">
        <x:v>https://www.cnssci.net/uploads/allimg/20240607/1-24060G41PM29.pdf ; https://dg.cnsoc.org/article/04/J4-AsD_DR3OLQMnHG0-jZA.html</x:v>
      </x:c>
      <x:c r="AH45" s="30" t="str">
        <x:v>NEEDS_SOURCE_RECALC</x:v>
      </x:c>
      <x:c r="AI45" s="30" t="str">
        <x:v>无糖豆浆</x:v>
      </x:c>
      <x:c r="AJ45" s="30" t="str">
        <x:v>1</x:v>
      </x:c>
      <x:c r="AK45" s="30" t="str">
        <x:v>PASS</x:v>
      </x:c>
      <x:c r="AL45" s="30" t="str">
        <x:v>RULE_APPROVED_SOURCE_PENDING</x:v>
      </x:c>
      <x:c r="AM45" s="30" t="n">
        <x:v>99.6</x:v>
      </x:c>
      <x:c r="AN45" s="30" t="n">
        <x:v>5</x:v>
      </x:c>
      <x:c r="AO45" s="30" t="n">
        <x:v>18.7</x:v>
      </x:c>
      <x:c r="AP45" s="30" t="n">
        <x:v>2</x:v>
      </x:c>
    </x:row>
    <x:row r="46">
      <x:c r="A46" s="30" t="str">
        <x:v>S004</x:v>
      </x:c>
      <x:c r="B46" s="30" t="str">
        <x:v>低脂奶+小香蕉</x:v>
      </x:c>
      <x:c r="C46" s="30" t="str">
        <x:v>snack</x:v>
      </x:c>
      <x:c r="D46" s="30" t="str">
        <x:v>mixed_snack</x:v>
      </x:c>
      <x:c r="E46" s="48" t="str">
        <x:v>是</x:v>
      </x:c>
      <x:c r="F46" s="48" t="str">
        <x:v>低脂牛奶200ml；香蕉80g</x:v>
      </x:c>
      <x:c r="G46" s="48" t="n">
        <x:v>166</x:v>
      </x:c>
      <x:c r="H46" s="48" t="n">
        <x:v>7.7</x:v>
      </x:c>
      <x:c r="I46" s="48" t="n">
        <x:v>27.2</x:v>
      </x:c>
      <x:c r="J46" s="48" t="n">
        <x:v>3.2</x:v>
      </x:c>
      <x:c r="K46" s="48" t="str">
        <x:v>糖代谢异常者按总碳水计划计入。</x:v>
      </x:c>
      <x:c r="L46" s="48" t="str">
        <x:v>香蕉换苹果。</x:v>
      </x:c>
      <x:c r="M46" s="68" t="str">
        <x:v>奶/豆浆按包装容量；肉鱼豆腐蔬果按烹调前可食部重量</x:v>
      </x:c>
      <x:c r="N46" s="68" t="str">
        <x:v>固定scale；仅允许1.0×base。若需改变总量，换组件或拆分/重构后重算。</x:v>
      </x:c>
      <x:c r="O46" s="68" t="str">
        <x:v>1×base</x:v>
      </x:c>
      <x:c r="P46" s="68" t="str">
        <x:v>1×base</x:v>
      </x:c>
      <x:c r="Q46" s="68" t="str">
        <x:v>固定</x:v>
      </x:c>
      <x:c r="R46" s="68" t="str">
        <x:v>MDT原则确认</x:v>
      </x:c>
      <x:c r="S46" s="68" t="str"/>
      <x:c r="T46" s="68" t="str"/>
      <x:c r="U46" s="68" t="str">
        <x:v>推荐</x:v>
      </x:c>
      <x:c r="V46" s="68" t="str">
        <x:v>推荐</x:v>
      </x:c>
      <x:c r="W46" s="68" t="str">
        <x:v>固定加餐组件；E型可用于分散摄入，但整组件不直接按0.75/1.25倍缩放。</x:v>
      </x:c>
      <x:c r="X46" s="41" t="str">
        <x:v>规则确认，来源待补</x:v>
      </x:c>
      <x:c r="Y46" s="41" t="str">
        <x:v>份量/执行规则已确认；含未完成营养来源/产品/身份确认的基础食材，禁止用于EXACT营养闭合。</x:v>
      </x:c>
      <x:c r="Z46" s="41" t="str"/>
      <x:c r="AA46" s="41" t="str"/>
      <x:c r="AB46" s="41" t="n">
        <x:v>11</x:v>
      </x:c>
      <x:c r="AC46" s="72" t="str">
        <x:v>FIXED_COMPOSITE_NO_DIRECT_SCALING</x:v>
      </x:c>
      <x:c r="AD46" s="72" t="str">
        <x:v>最终医生/患者方案必须显示g/ml/个（复合菜展开主要食材）；component_portion_scale仅后台保留。</x:v>
      </x:c>
      <x:c r="AE46" s="72" t="str">
        <x:v>候选规则（需MDT确认）</x:v>
      </x:c>
      <x:c r="AF46" s="72" t="str">
        <x:v>SRC01+SRC03+现有FOOD base recipe+SRC05/SRC06（围术期覆盖）</x:v>
      </x:c>
      <x:c r="AG46" s="72" t="str">
        <x:v>https://www.cnssci.net/uploads/allimg/20240607/1-24060G41PM29.pdf ; https://dg.cnsoc.org/article/04/J4-AsD_DR3OLQMnHG0-jZA.html</x:v>
      </x:c>
      <x:c r="AH46" s="30" t="str">
        <x:v>NEEDS_SOURCE_RECALC</x:v>
      </x:c>
      <x:c r="AI46" s="30" t="str">
        <x:v>低脂牛奶</x:v>
      </x:c>
      <x:c r="AJ46" s="30" t="str">
        <x:v>1</x:v>
      </x:c>
      <x:c r="AK46" s="30" t="str">
        <x:v>PASS</x:v>
      </x:c>
      <x:c r="AL46" s="30" t="str">
        <x:v>RULE_APPROVED_SOURCE_PENDING</x:v>
      </x:c>
      <x:c r="AM46" s="30" t="n">
        <x:v>162.4</x:v>
      </x:c>
      <x:c r="AN46" s="30" t="n">
        <x:v>6.9</x:v>
      </x:c>
      <x:c r="AO46" s="30" t="n">
        <x:v>27.6</x:v>
      </x:c>
      <x:c r="AP46" s="30" t="n">
        <x:v>2.8</x:v>
      </x:c>
    </x:row>
    <x:row r="47">
      <x:c r="A47" s="30" t="str">
        <x:v>S005</x:v>
      </x:c>
      <x:c r="B47" s="30" t="str">
        <x:v>无糖酸奶+核桃</x:v>
      </x:c>
      <x:c r="C47" s="30" t="str">
        <x:v>snack</x:v>
      </x:c>
      <x:c r="D47" s="30" t="str">
        <x:v>mixed_snack</x:v>
      </x:c>
      <x:c r="E47" s="48" t="str">
        <x:v>是</x:v>
      </x:c>
      <x:c r="F47" s="48" t="str">
        <x:v>无糖酸奶150g；核桃10g</x:v>
      </x:c>
      <x:c r="G47" s="48" t="n">
        <x:v>158</x:v>
      </x:c>
      <x:c r="H47" s="48" t="n">
        <x:v>7.2</x:v>
      </x:c>
      <x:c r="I47" s="48" t="n">
        <x:v>8.8</x:v>
      </x:c>
      <x:c r="J47" s="48" t="n">
        <x:v>10.4</x:v>
      </x:c>
      <x:c r="K47" s="48" t="str">
        <x:v>坚果过敏禁用；能量密度高，不随意加量。</x:v>
      </x:c>
      <x:c r="L47" s="48" t="str">
        <x:v>核桃换杏仁10g。</x:v>
      </x:c>
      <x:c r="M47" s="68" t="str">
        <x:v>酸奶按包装净含量g；坚果按可食部净重</x:v>
      </x:c>
      <x:c r="N47" s="68" t="str">
        <x:v>固定scale；仅允许1.0×base。若需改变总量，换组件或拆分/重构后重算。</x:v>
      </x:c>
      <x:c r="O47" s="68" t="str">
        <x:v>1×base</x:v>
      </x:c>
      <x:c r="P47" s="68" t="str">
        <x:v>1×base</x:v>
      </x:c>
      <x:c r="Q47" s="68" t="str">
        <x:v>固定</x:v>
      </x:c>
      <x:c r="R47" s="68" t="str">
        <x:v>MDT原则确认</x:v>
      </x:c>
      <x:c r="S47" s="68" t="str"/>
      <x:c r="T47" s="68" t="str"/>
      <x:c r="U47" s="68" t="str">
        <x:v>推荐</x:v>
      </x:c>
      <x:c r="V47" s="68" t="str">
        <x:v>推荐</x:v>
      </x:c>
      <x:c r="W47" s="68" t="str">
        <x:v>固定加餐组件；E型可用于分散摄入，但整组件不直接按0.75/1.25倍缩放。</x:v>
      </x:c>
      <x:c r="X47" s="41" t="str">
        <x:v>规则确认，来源待补</x:v>
      </x:c>
      <x:c r="Y47" s="41" t="str">
        <x:v>份量/执行规则已确认；含未完成营养来源/产品/身份确认的基础食材，禁止用于EXACT营养闭合。</x:v>
      </x:c>
      <x:c r="Z47" s="41" t="str"/>
      <x:c r="AA47" s="41" t="str"/>
      <x:c r="AB47" s="41" t="n">
        <x:v>11</x:v>
      </x:c>
      <x:c r="AC47" s="72" t="str">
        <x:v>FIXED_COMPOSITE_NO_DIRECT_SCALING</x:v>
      </x:c>
      <x:c r="AD47" s="72" t="str">
        <x:v>最终医生/患者方案必须显示g/ml/个（复合菜展开主要食材）；component_portion_scale仅后台保留。</x:v>
      </x:c>
      <x:c r="AE47" s="72" t="str">
        <x:v>候选规则（需MDT确认）</x:v>
      </x:c>
      <x:c r="AF47" s="72" t="str">
        <x:v>SRC01+SRC03+现有FOOD base recipe+SRC05/SRC06（围术期覆盖）</x:v>
      </x:c>
      <x:c r="AG47" s="72" t="str">
        <x:v>https://www.cnssci.net/uploads/allimg/20240607/1-24060G41PM29.pdf ; https://dg.cnsoc.org/article/04/J4-AsD_DR3OLQMnHG0-jZA.html</x:v>
      </x:c>
      <x:c r="AH47" s="30" t="str">
        <x:v>NEEDS_SOURCE_RECALC</x:v>
      </x:c>
      <x:c r="AI47" s="30" t="str">
        <x:v>无糖酸奶</x:v>
      </x:c>
      <x:c r="AJ47" s="30" t="str">
        <x:v>1</x:v>
      </x:c>
      <x:c r="AK47" s="30" t="str">
        <x:v>PASS</x:v>
      </x:c>
      <x:c r="AL47" s="30" t="str">
        <x:v>RULE_APPROVED_SOURCE_PENDING</x:v>
      </x:c>
      <x:c r="AM47" s="30"/>
      <x:c r="AN47" s="30"/>
      <x:c r="AO47" s="30"/>
      <x:c r="AP47" s="30"/>
    </x:row>
    <x:row r="48">
      <x:c r="A48" s="30" t="str">
        <x:v>S006</x:v>
      </x:c>
      <x:c r="B48" s="30" t="str">
        <x:v>低脂奶+橙</x:v>
      </x:c>
      <x:c r="C48" s="30" t="str">
        <x:v>snack</x:v>
      </x:c>
      <x:c r="D48" s="30" t="str">
        <x:v>mixed_snack</x:v>
      </x:c>
      <x:c r="E48" s="48" t="str">
        <x:v>是</x:v>
      </x:c>
      <x:c r="F48" s="48" t="str">
        <x:v>低脂牛奶200ml；橙150g</x:v>
      </x:c>
      <x:c r="G48" s="48" t="n">
        <x:v>164</x:v>
      </x:c>
      <x:c r="H48" s="48" t="n">
        <x:v>7.8</x:v>
      </x:c>
      <x:c r="I48" s="48" t="n">
        <x:v>26.2</x:v>
      </x:c>
      <x:c r="J48" s="48" t="n">
        <x:v>3.3</x:v>
      </x:c>
      <x:c r="K48" s="48" t="str">
        <x:v>乳糖不耐受者换豆浆。</x:v>
      </x:c>
      <x:c r="L48" s="48" t="str">
        <x:v>橙换苹果/猕猴桃。</x:v>
      </x:c>
      <x:c r="M48" s="68" t="str">
        <x:v>奶/豆浆按包装容量；肉鱼豆腐蔬果按烹调前可食部重量</x:v>
      </x:c>
      <x:c r="N48" s="68" t="str">
        <x:v>固定scale；仅允许1.0×base。若需改变总量，换组件或拆分/重构后重算。</x:v>
      </x:c>
      <x:c r="O48" s="68" t="str">
        <x:v>1×base</x:v>
      </x:c>
      <x:c r="P48" s="68" t="str">
        <x:v>1×base</x:v>
      </x:c>
      <x:c r="Q48" s="68" t="str">
        <x:v>固定</x:v>
      </x:c>
      <x:c r="R48" s="68" t="str">
        <x:v>MDT原则确认</x:v>
      </x:c>
      <x:c r="S48" s="68" t="str"/>
      <x:c r="T48" s="68" t="str"/>
      <x:c r="U48" s="68" t="str">
        <x:v>推荐</x:v>
      </x:c>
      <x:c r="V48" s="68" t="str">
        <x:v>推荐</x:v>
      </x:c>
      <x:c r="W48" s="68" t="str">
        <x:v>固定加餐组件；E型可用于分散摄入，但整组件不直接按0.75/1.25倍缩放。</x:v>
      </x:c>
      <x:c r="X48" s="41" t="str">
        <x:v>规则确认，来源待补</x:v>
      </x:c>
      <x:c r="Y48" s="41" t="str">
        <x:v>份量/执行规则已确认；含未完成营养来源/产品/身份确认的基础食材，禁止用于EXACT营养闭合。</x:v>
      </x:c>
      <x:c r="Z48" s="41" t="str"/>
      <x:c r="AA48" s="41" t="str"/>
      <x:c r="AB48" s="41" t="n">
        <x:v>11</x:v>
      </x:c>
      <x:c r="AC48" s="72" t="str">
        <x:v>FIXED_COMPOSITE_NO_DIRECT_SCALING</x:v>
      </x:c>
      <x:c r="AD48" s="72" t="str">
        <x:v>最终医生/患者方案必须显示g/ml/个（复合菜展开主要食材）；component_portion_scale仅后台保留。</x:v>
      </x:c>
      <x:c r="AE48" s="72" t="str">
        <x:v>候选规则（需MDT确认）</x:v>
      </x:c>
      <x:c r="AF48" s="72" t="str">
        <x:v>SRC01+SRC03+现有FOOD base recipe+SRC05/SRC06（围术期覆盖）</x:v>
      </x:c>
      <x:c r="AG48" s="72" t="str">
        <x:v>https://www.cnssci.net/uploads/allimg/20240607/1-24060G41PM29.pdf ; https://dg.cnsoc.org/article/04/J4-AsD_DR3OLQMnHG0-jZA.html</x:v>
      </x:c>
      <x:c r="AH48" s="30" t="str">
        <x:v>NEEDS_SOURCE_RECALC</x:v>
      </x:c>
      <x:c r="AI48" s="30" t="str">
        <x:v>低脂牛奶</x:v>
      </x:c>
      <x:c r="AJ48" s="30" t="str">
        <x:v>1</x:v>
      </x:c>
      <x:c r="AK48" s="30" t="str">
        <x:v>PASS</x:v>
      </x:c>
      <x:c r="AL48" s="30" t="str">
        <x:v>RULE_APPROVED_SOURCE_PENDING</x:v>
      </x:c>
      <x:c r="AM48" s="30" t="n">
        <x:v>160.2</x:v>
      </x:c>
      <x:c r="AN48" s="30" t="n">
        <x:v>7</x:v>
      </x:c>
      <x:c r="AO48" s="30" t="n">
        <x:v>26.6</x:v>
      </x:c>
      <x:c r="AP48" s="30" t="n">
        <x:v>2.9</x:v>
      </x:c>
    </x:row>
    <x:row r="49">
      <x:c r="A49" s="30" t="str">
        <x:v>S007</x:v>
      </x:c>
      <x:c r="B49" s="30" t="str">
        <x:v>苹果+杏仁</x:v>
      </x:c>
      <x:c r="C49" s="30" t="str">
        <x:v>snack</x:v>
      </x:c>
      <x:c r="D49" s="30" t="str">
        <x:v>mixed_snack</x:v>
      </x:c>
      <x:c r="E49" s="48" t="str">
        <x:v>是</x:v>
      </x:c>
      <x:c r="F49" s="48" t="str">
        <x:v>苹果150g；杏仁10g</x:v>
      </x:c>
      <x:c r="G49" s="48" t="n">
        <x:v>137</x:v>
      </x:c>
      <x:c r="H49" s="48" t="n">
        <x:v>2.7</x:v>
      </x:c>
      <x:c r="I49" s="48" t="n">
        <x:v>22.7</x:v>
      </x:c>
      <x:c r="J49" s="48" t="n">
        <x:v>5.4</x:v>
      </x:c>
      <x:c r="K49" s="48" t="str">
        <x:v>坚果过敏禁用；注意总脂肪。</x:v>
      </x:c>
      <x:c r="L49" s="48" t="str">
        <x:v>杏仁换核桃。</x:v>
      </x:c>
      <x:c r="M49" s="68" t="str">
        <x:v>肉鱼豆腐蔬果按烹调前可食部重量；坚果按可食部净重</x:v>
      </x:c>
      <x:c r="N49" s="68" t="str">
        <x:v>固定scale；仅允许1.0×base。若需改变总量，换组件或拆分/重构后重算。</x:v>
      </x:c>
      <x:c r="O49" s="68" t="str">
        <x:v>1×base</x:v>
      </x:c>
      <x:c r="P49" s="68" t="str">
        <x:v>1×base</x:v>
      </x:c>
      <x:c r="Q49" s="68" t="str">
        <x:v>固定</x:v>
      </x:c>
      <x:c r="R49" s="68" t="str">
        <x:v>MDT原则确认</x:v>
      </x:c>
      <x:c r="S49" s="68" t="str"/>
      <x:c r="T49" s="68" t="str"/>
      <x:c r="U49" s="68" t="str">
        <x:v>可用</x:v>
      </x:c>
      <x:c r="V49" s="68" t="str">
        <x:v>可用</x:v>
      </x:c>
      <x:c r="W49" s="68" t="str">
        <x:v>固定加餐组件；如需增减能量，优先换组件而非整组比例缩放。</x:v>
      </x:c>
      <x:c r="X49" s="41" t="str">
        <x:v>规则确认，来源待补</x:v>
      </x:c>
      <x:c r="Y49" s="41" t="str">
        <x:v>份量/执行规则已确认；含未完成营养来源/产品/身份确认的基础食材，禁止用于EXACT营养闭合。</x:v>
      </x:c>
      <x:c r="Z49" s="41" t="str"/>
      <x:c r="AA49" s="41" t="str"/>
      <x:c r="AB49" s="41" t="n">
        <x:v>11</x:v>
      </x:c>
      <x:c r="AC49" s="72" t="str">
        <x:v>FIXED_COMPOSITE_NO_DIRECT_SCALING</x:v>
      </x:c>
      <x:c r="AD49" s="72" t="str">
        <x:v>最终医生/患者方案必须显示g/ml/个（复合菜展开主要食材）；component_portion_scale仅后台保留。</x:v>
      </x:c>
      <x:c r="AE49" s="72" t="str">
        <x:v>候选规则（需MDT确认）</x:v>
      </x:c>
      <x:c r="AF49" s="72" t="str">
        <x:v>SRC01+SRC03+现有FOOD base recipe+SRC05/SRC06（围术期覆盖）</x:v>
      </x:c>
      <x:c r="AG49" s="72" t="str">
        <x:v>https://www.cnssci.net/uploads/allimg/20240607/1-24060G41PM29.pdf ; https://dg.cnsoc.org/article/04/J4-AsD_DR3OLQMnHG0-jZA.html</x:v>
      </x:c>
      <x:c r="AH49" s="30" t="str">
        <x:v>NEEDS_SOURCE_RECALC</x:v>
      </x:c>
      <x:c r="AI49" s="30" t="str">
        <x:v>杏仁</x:v>
      </x:c>
      <x:c r="AJ49" s="30" t="str">
        <x:v>1</x:v>
      </x:c>
      <x:c r="AK49" s="30" t="str">
        <x:v>PASS</x:v>
      </x:c>
      <x:c r="AL49" s="30" t="str">
        <x:v>RULE_APPROVED_SOURCE_PENDING</x:v>
      </x:c>
      <x:c r="AM49" s="30" t="n">
        <x:v>139.3</x:v>
      </x:c>
      <x:c r="AN49" s="30" t="n">
        <x:v>2.5</x:v>
      </x:c>
      <x:c r="AO49" s="30" t="n">
        <x:v>22.6</x:v>
      </x:c>
      <x:c r="AP49" s="30" t="n">
        <x:v>4.8</x:v>
      </x:c>
    </x:row>
    <x:row r="50">
      <x:c r="A50" s="30" t="str">
        <x:v>S008</x:v>
      </x:c>
      <x:c r="B50" s="30" t="str">
        <x:v>鲜玉米+低脂奶</x:v>
      </x:c>
      <x:c r="C50" s="30" t="str">
        <x:v>snack</x:v>
      </x:c>
      <x:c r="D50" s="30" t="str">
        <x:v>dairy</x:v>
      </x:c>
      <x:c r="E50" s="48" t="str">
        <x:v>是</x:v>
      </x:c>
      <x:c r="F50" s="48" t="str">
        <x:v>玉米鲜100g；低脂牛奶150ml</x:v>
      </x:c>
      <x:c r="G50" s="48" t="n">
        <x:v>181</x:v>
      </x:c>
      <x:c r="H50" s="48" t="n">
        <x:v>8.9</x:v>
      </x:c>
      <x:c r="I50" s="48" t="n">
        <x:v>30</x:v>
      </x:c>
      <x:c r="J50" s="48" t="n">
        <x:v>3.5</x:v>
      </x:c>
      <x:c r="K50" s="48" t="str">
        <x:v>减重能量目标低时份量按总能量调整。</x:v>
      </x:c>
      <x:c r="L50" s="48" t="str">
        <x:v>玉米换红薯100g。</x:v>
      </x:c>
      <x:c r="M50" s="68" t="str">
        <x:v>肉鱼豆腐蔬果按烹调前可食部重量；奶/豆浆按包装容量</x:v>
      </x:c>
      <x:c r="N50" s="68" t="str">
        <x:v>固定scale；仅允许1.0×base。若需改变总量，换组件或拆分/重构后重算。</x:v>
      </x:c>
      <x:c r="O50" s="68" t="str">
        <x:v>1×base</x:v>
      </x:c>
      <x:c r="P50" s="68" t="str">
        <x:v>1×base</x:v>
      </x:c>
      <x:c r="Q50" s="68" t="str">
        <x:v>固定</x:v>
      </x:c>
      <x:c r="R50" s="68" t="str">
        <x:v>MDT原则确认</x:v>
      </x:c>
      <x:c r="S50" s="68" t="str"/>
      <x:c r="T50" s="68" t="str"/>
      <x:c r="U50" s="68" t="str">
        <x:v>推荐</x:v>
      </x:c>
      <x:c r="V50" s="68" t="str">
        <x:v>推荐</x:v>
      </x:c>
      <x:c r="W50" s="68" t="str">
        <x:v>固定加餐组件；E型可用于分散摄入，但整组件不直接按0.75/1.25倍缩放。</x:v>
      </x:c>
      <x:c r="X50" s="41" t="str">
        <x:v>规则确认，来源待补</x:v>
      </x:c>
      <x:c r="Y50" s="41" t="str">
        <x:v>份量/执行规则已确认；含未完成营养来源/产品/身份确认的基础食材，禁止用于EXACT营养闭合。</x:v>
      </x:c>
      <x:c r="Z50" s="41" t="str"/>
      <x:c r="AA50" s="41" t="str"/>
      <x:c r="AB50" s="41" t="n">
        <x:v>11</x:v>
      </x:c>
      <x:c r="AC50" s="72" t="str">
        <x:v>FIXED_COMPOSITE_NO_DIRECT_SCALING</x:v>
      </x:c>
      <x:c r="AD50" s="72" t="str">
        <x:v>最终医生/患者方案必须显示g/ml/个（复合菜展开主要食材）；component_portion_scale仅后台保留。</x:v>
      </x:c>
      <x:c r="AE50" s="72" t="str">
        <x:v>候选规则（需MDT确认）</x:v>
      </x:c>
      <x:c r="AF50" s="72" t="str">
        <x:v>SRC01+SRC03+现有FOOD base recipe+SRC05/SRC06（围术期覆盖）</x:v>
      </x:c>
      <x:c r="AG50" s="72" t="str">
        <x:v>https://www.cnssci.net/uploads/allimg/20240607/1-24060G41PM29.pdf ; https://dg.cnsoc.org/article/04/J4-AsD_DR3OLQMnHG0-jZA.html</x:v>
      </x:c>
      <x:c r="AH50" s="30" t="str">
        <x:v>NEEDS_SOURCE_RECALC</x:v>
      </x:c>
      <x:c r="AI50" s="30" t="str">
        <x:v>低脂牛奶</x:v>
      </x:c>
      <x:c r="AJ50" s="30" t="str">
        <x:v>1</x:v>
      </x:c>
      <x:c r="AK50" s="30" t="str">
        <x:v>PASS</x:v>
      </x:c>
      <x:c r="AL50" s="30" t="str">
        <x:v>RULE_APPROVED_SOURCE_PENDING</x:v>
      </x:c>
      <x:c r="AM50" s="30" t="n">
        <x:v>178.6</x:v>
      </x:c>
      <x:c r="AN50" s="30" t="n">
        <x:v>8.3</x:v>
      </x:c>
      <x:c r="AO50" s="30" t="n">
        <x:v>30.3</x:v>
      </x:c>
      <x:c r="AP50" s="30" t="n">
        <x:v>3.1</x:v>
      </x:c>
    </x:row>
    <x:row r="51">
      <x:c r="A51" s="30" t="str">
        <x:v>S009</x:v>
      </x:c>
      <x:c r="B51" s="30" t="str">
        <x:v>水煮蛋+小番茄</x:v>
      </x:c>
      <x:c r="C51" s="30" t="str">
        <x:v>snack</x:v>
      </x:c>
      <x:c r="D51" s="30" t="str">
        <x:v>protein_snack</x:v>
      </x:c>
      <x:c r="E51" s="48" t="str">
        <x:v>是</x:v>
      </x:c>
      <x:c r="F51" s="48" t="str">
        <x:v>鸡蛋50g；番茄150g</x:v>
      </x:c>
      <x:c r="G51" s="48" t="n">
        <x:v>102.5</x:v>
      </x:c>
      <x:c r="H51" s="48" t="n">
        <x:v>8</x:v>
      </x:c>
      <x:c r="I51" s="48" t="n">
        <x:v>7.4</x:v>
      </x:c>
      <x:c r="J51" s="48" t="n">
        <x:v>4.7</x:v>
      </x:c>
      <x:c r="K51" s="48" t="str">
        <x:v>血脂异常者蛋类总量按整体计划。</x:v>
      </x:c>
      <x:c r="L51" s="48" t="str">
        <x:v>鸡蛋换无糖酸奶。</x:v>
      </x:c>
      <x:c r="M51" s="68" t="str">
        <x:v>鸡蛋按1个≈50g可食部；肉鱼豆腐蔬果按烹调前可食部重量</x:v>
      </x:c>
      <x:c r="N51" s="68" t="str">
        <x:v>固定scale；仅允许1.0×base。若需改变总量，换组件或拆分/重构后重算。</x:v>
      </x:c>
      <x:c r="O51" s="68" t="str">
        <x:v>1×base</x:v>
      </x:c>
      <x:c r="P51" s="68" t="str">
        <x:v>1×base</x:v>
      </x:c>
      <x:c r="Q51" s="68" t="str">
        <x:v>固定</x:v>
      </x:c>
      <x:c r="R51" s="68" t="str">
        <x:v>MDT原则确认</x:v>
      </x:c>
      <x:c r="S51" s="68" t="str"/>
      <x:c r="T51" s="68" t="str"/>
      <x:c r="U51" s="68" t="str">
        <x:v>推荐</x:v>
      </x:c>
      <x:c r="V51" s="68" t="str">
        <x:v>推荐</x:v>
      </x:c>
      <x:c r="W51" s="68" t="str">
        <x:v>固定加餐组件；E型可用于分散摄入，但整组件不直接按0.75/1.25倍缩放。</x:v>
      </x:c>
      <x:c r="X51" s="41" t="str">
        <x:v>确认</x:v>
      </x:c>
      <x:c r="Y51" s="41" t="str">
        <x:v>已按Ingredient Master单一事实来源重算营养；旧组件营养值仅保留历史追溯。</x:v>
      </x:c>
      <x:c r="Z51" s="41" t="str"/>
      <x:c r="AA51" s="41" t="str"/>
      <x:c r="AB51" s="41" t="n">
        <x:v>11</x:v>
      </x:c>
      <x:c r="AC51" s="72" t="str">
        <x:v>FIXED_COMPOSITE_NO_DIRECT_SCALING</x:v>
      </x:c>
      <x:c r="AD51" s="72" t="str">
        <x:v>最终医生/患者方案必须显示g/ml/个（复合菜展开主要食材）；component_portion_scale仅后台保留。</x:v>
      </x:c>
      <x:c r="AE51" s="72" t="str">
        <x:v>候选规则（需MDT确认）</x:v>
      </x:c>
      <x:c r="AF51" s="72" t="str">
        <x:v>SRC01+SRC03+现有FOOD base recipe+SRC05/SRC06（围术期覆盖）</x:v>
      </x:c>
      <x:c r="AG51" s="72" t="str">
        <x:v>https://www.cnssci.net/uploads/allimg/20240607/1-24060G41PM29.pdf ; https://dg.cnsoc.org/article/04/J4-AsD_DR3OLQMnHG0-jZA.html</x:v>
      </x:c>
      <x:c r="AH51" s="30" t="str">
        <x:v>ACTIVE_RECALCULATED</x:v>
      </x:c>
      <x:c r="AI51" s="30" t="str"/>
      <x:c r="AJ51" s="30" t="str">
        <x:v>1</x:v>
      </x:c>
      <x:c r="AK51" s="30" t="str">
        <x:v>PASS</x:v>
      </x:c>
      <x:c r="AL51" s="30" t="str">
        <x:v>ACTIVE_FOR_EXACT</x:v>
      </x:c>
      <x:c r="AM51" s="30" t="n">
        <x:v>102.5</x:v>
      </x:c>
      <x:c r="AN51" s="30" t="n">
        <x:v>8</x:v>
      </x:c>
      <x:c r="AO51" s="30" t="n">
        <x:v>7.4</x:v>
      </x:c>
      <x:c r="AP51" s="30" t="n">
        <x:v>4.7</x:v>
      </x:c>
    </x:row>
    <x:row r="52">
      <x:c r="A52" s="30" t="str">
        <x:v>S010</x:v>
      </x:c>
      <x:c r="B52" s="30" t="str">
        <x:v>猕猴桃+无糖酸奶</x:v>
      </x:c>
      <x:c r="C52" s="30" t="str">
        <x:v>snack</x:v>
      </x:c>
      <x:c r="D52" s="30" t="str">
        <x:v>mixed_snack</x:v>
      </x:c>
      <x:c r="E52" s="48" t="str">
        <x:v>是</x:v>
      </x:c>
      <x:c r="F52" s="48" t="str">
        <x:v>猕猴桃100g；无糖酸奶150g</x:v>
      </x:c>
      <x:c r="G52" s="48" t="n">
        <x:v>154</x:v>
      </x:c>
      <x:c r="H52" s="48" t="n">
        <x:v>6.8</x:v>
      </x:c>
      <x:c r="I52" s="48" t="n">
        <x:v>22</x:v>
      </x:c>
      <x:c r="J52" s="48" t="n">
        <x:v>5</x:v>
      </x:c>
      <x:c r="K52" s="48" t="str">
        <x:v>乳糖不耐受按耐受调整。</x:v>
      </x:c>
      <x:c r="L52" s="48" t="str">
        <x:v>酸奶换豆浆。</x:v>
      </x:c>
      <x:c r="M52" s="68" t="str">
        <x:v>肉鱼豆腐蔬果按烹调前可食部重量；酸奶按包装净含量g</x:v>
      </x:c>
      <x:c r="N52" s="68" t="str">
        <x:v>固定scale；仅允许1.0×base。若需改变总量，换组件或拆分/重构后重算。</x:v>
      </x:c>
      <x:c r="O52" s="68" t="str">
        <x:v>1×base</x:v>
      </x:c>
      <x:c r="P52" s="68" t="str">
        <x:v>1×base</x:v>
      </x:c>
      <x:c r="Q52" s="68" t="str">
        <x:v>固定</x:v>
      </x:c>
      <x:c r="R52" s="68" t="str">
        <x:v>MDT原则确认</x:v>
      </x:c>
      <x:c r="S52" s="68" t="str"/>
      <x:c r="T52" s="68" t="str"/>
      <x:c r="U52" s="68" t="str">
        <x:v>推荐</x:v>
      </x:c>
      <x:c r="V52" s="68" t="str">
        <x:v>推荐</x:v>
      </x:c>
      <x:c r="W52" s="68" t="str">
        <x:v>固定加餐组件；E型可用于分散摄入，但整组件不直接按0.75/1.25倍缩放。</x:v>
      </x:c>
      <x:c r="X52" s="41" t="str">
        <x:v>规则确认，来源待补</x:v>
      </x:c>
      <x:c r="Y52" s="41" t="str">
        <x:v>份量/执行规则已确认；含未完成营养来源/产品/身份确认的基础食材，禁止用于EXACT营养闭合。</x:v>
      </x:c>
      <x:c r="Z52" s="41" t="str"/>
      <x:c r="AA52" s="41" t="str"/>
      <x:c r="AB52" s="41" t="n">
        <x:v>11</x:v>
      </x:c>
      <x:c r="AC52" s="72" t="str">
        <x:v>FIXED_COMPOSITE_NO_DIRECT_SCALING</x:v>
      </x:c>
      <x:c r="AD52" s="72" t="str">
        <x:v>最终医生/患者方案必须显示g/ml/个（复合菜展开主要食材）；component_portion_scale仅后台保留。</x:v>
      </x:c>
      <x:c r="AE52" s="72" t="str">
        <x:v>候选规则（需MDT确认）</x:v>
      </x:c>
      <x:c r="AF52" s="72" t="str">
        <x:v>SRC01+SRC03+现有FOOD base recipe+SRC05/SRC06（围术期覆盖）</x:v>
      </x:c>
      <x:c r="AG52" s="72" t="str">
        <x:v>https://www.cnssci.net/uploads/allimg/20240607/1-24060G41PM29.pdf ; https://dg.cnsoc.org/article/04/J4-AsD_DR3OLQMnHG0-jZA.html</x:v>
      </x:c>
      <x:c r="AH52" s="30" t="str">
        <x:v>NEEDS_SOURCE_RECALC</x:v>
      </x:c>
      <x:c r="AI52" s="30" t="str">
        <x:v>无糖酸奶</x:v>
      </x:c>
      <x:c r="AJ52" s="30" t="str">
        <x:v>1</x:v>
      </x:c>
      <x:c r="AK52" s="30" t="str">
        <x:v>PASS</x:v>
      </x:c>
      <x:c r="AL52" s="30" t="str">
        <x:v>RULE_APPROVED_SOURCE_PENDING</x:v>
      </x:c>
      <x:c r="AM52" s="30"/>
      <x:c r="AN52" s="30"/>
      <x:c r="AO52" s="30"/>
      <x:c r="AP52" s="30"/>
    </x:row>
  </x:sheetData>
  <x:mergeCells>
    <x:mergeCell ref="A1:AB1"/>
    <x:mergeCell ref="A2:AB2"/>
    <x:mergeCell ref="A1:AG1"/>
    <x:mergeCell ref="A2:AG2"/>
  </x:mergeCells>
  <x:dataValidations count="5">
    <x:dataValidation type="list" sqref="M4:M52">
      <x:formula1>"生重,熟重,可食部,包装净含量,标准份,混合菜总重,其他,待确认"</x:formula1>
    </x:dataValidation>
    <x:dataValidation type="list" sqref="N4:N52">
      <x:formula1>"倍率,克数,份数,其他,待确认"</x:formula1>
    </x:dataValidation>
    <x:dataValidation type="list" sqref="R4:R52">
      <x:formula1>"已确认,需修改,待确认"</x:formula1>
    </x:dataValidation>
    <x:dataValidation type="list" sqref="U4:V52">
      <x:formula1>"推荐,可用,慎用,不推荐,待确认"</x:formula1>
    </x:dataValidation>
    <x:dataValidation type="list" sqref="X4:X52">
      <x:formula1>"待审核,确认,修改后确认,规则确认，来源待补,不采用"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16" hidden="0" customWidth="1"/>
    <x:col min="5" max="5" width="40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28" hidden="0" customWidth="1"/>
    <x:col min="13" max="13" width="14" hidden="0" customWidth="1"/>
  </x:cols>
  <x:sheetData>
    <x:row r="1">
      <x:c r="A1" s="5" t="str">
        <x:v>疾病适配确认｜营养学候选已补充，仍需MDT复核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G–K为营养学候选分级，L为复核要点。候选用于筛查与讨论，不替代对患者病期、药物、肾功能、营养风险及全天膳食的个体化判断。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>
      <x:c r="A3" s="24" t="str">
        <x:v>component_id</x:v>
      </x:c>
      <x:c r="B3" s="24" t="str">
        <x:v>组件名称</x:v>
      </x:c>
      <x:c r="C3" s="24" t="str">
        <x:v>类别</x:v>
      </x:c>
      <x:c r="D3" s="24" t="str">
        <x:v>当前子类别</x:v>
      </x:c>
      <x:c r="E3" s="24" t="str">
        <x:v>现有限制/注意</x:v>
      </x:c>
      <x:c r="F3" s="36" t="str">
        <x:v>复核提示</x:v>
      </x:c>
      <x:c r="G3" s="32" t="str">
        <x:v>控糖</x:v>
      </x:c>
      <x:c r="H3" s="32" t="str">
        <x:v>血脂异常</x:v>
      </x:c>
      <x:c r="I3" s="32" t="str">
        <x:v>高尿酸/低嘌呤</x:v>
      </x:c>
      <x:c r="J3" s="32" t="str">
        <x:v>高血压/控盐</x:v>
      </x:c>
      <x:c r="K3" s="32" t="str">
        <x:v>脂肪肝</x:v>
      </x:c>
      <x:c r="L3" s="32" t="str">
        <x:v>疾病备注</x:v>
      </x:c>
      <x:c r="M3" s="40" t="str">
        <x:v>MDT审核状态</x:v>
      </x:c>
    </x:row>
    <x:row r="4">
      <x:c r="A4" s="30" t="str">
        <x:v>C001</x:v>
      </x:c>
      <x:c r="B4" s="30" t="str">
        <x:v>白米饭基础份</x:v>
      </x:c>
      <x:c r="C4" s="30" t="str">
        <x:v>staple</x:v>
      </x:c>
      <x:c r="D4" s="30" t="str">
        <x:v>refined_grain</x:v>
      </x:c>
      <x:c r="E4" s="30" t="str">
        <x:v>糖代谢异常者优先与全谷/杂豆搭配，不建议单独大量使用。</x:v>
      </x:c>
      <x:c r="F4" s="37" t="str">
        <x:v>建议复核</x:v>
      </x:c>
      <x:c r="G4" s="33" t="str">
        <x:v>条件可用</x:v>
      </x:c>
      <x:c r="H4" s="33" t="str">
        <x:v>可用</x:v>
      </x:c>
      <x:c r="I4" s="33" t="str">
        <x:v>可用</x:v>
      </x:c>
      <x:c r="J4" s="33" t="str">
        <x:v>可用</x:v>
      </x:c>
      <x:c r="K4" s="33" t="str">
        <x:v>条件可用</x:v>
      </x:c>
      <x:c r="L4" s="33" t="str">
        <x:v>计入餐次及全天碳水与能量；控糖/脂肪肝需控制总量并搭配蛋白和非淀粉蔬菜。成品主食同时核对钠、添加糖和营养标签。</x:v>
      </x:c>
      <x:c r="M4" s="41" t="str">
        <x:v>待审核</x:v>
      </x:c>
    </x:row>
    <x:row r="5">
      <x:c r="A5" s="30" t="str">
        <x:v>C002</x:v>
      </x:c>
      <x:c r="B5" s="30" t="str">
        <x:v>糙米饭基础份</x:v>
      </x:c>
      <x:c r="C5" s="30" t="str">
        <x:v>staple</x:v>
      </x:c>
      <x:c r="D5" s="30" t="str">
        <x:v>whole_grain</x:v>
      </x:c>
      <x:c r="E5" s="30" t="str">
        <x:v>胃肠耐受差或术前极短窗口可降低粗杂粮比例。</x:v>
      </x:c>
      <x:c r="F5" s="37" t="str">
        <x:v>可跳过</x:v>
      </x:c>
      <x:c r="G5" s="33" t="str">
        <x:v>条件可用</x:v>
      </x:c>
      <x:c r="H5" s="33" t="str">
        <x:v>推荐</x:v>
      </x:c>
      <x:c r="I5" s="33" t="str">
        <x:v>可用</x:v>
      </x:c>
      <x:c r="J5" s="33" t="str">
        <x:v>可用</x:v>
      </x:c>
      <x:c r="K5" s="33" t="str">
        <x:v>推荐</x:v>
      </x:c>
      <x:c r="L5" s="33" t="str">
        <x:v>计入餐次及全天碳水与能量；控糖/脂肪肝需控制总量并搭配蛋白和非淀粉蔬菜。成品主食同时核对钠、添加糖和营养标签。</x:v>
      </x:c>
      <x:c r="M5" s="41" t="str">
        <x:v>待审核</x:v>
      </x:c>
    </x:row>
    <x:row r="6">
      <x:c r="A6" s="30" t="str">
        <x:v>C003</x:v>
      </x:c>
      <x:c r="B6" s="30" t="str">
        <x:v>杂粮饭基础份</x:v>
      </x:c>
      <x:c r="C6" s="30" t="str">
        <x:v>staple</x:v>
      </x:c>
      <x:c r="D6" s="30" t="str">
        <x:v>whole_grain</x:v>
      </x:c>
      <x:c r="E6" s="30" t="str">
        <x:v>痛风急性发作/胃肠不适时具体杂豆量按医护意见调整。</x:v>
      </x:c>
      <x:c r="F6" s="37" t="str">
        <x:v>建议复核</x:v>
      </x:c>
      <x:c r="G6" s="33" t="str">
        <x:v>条件可用</x:v>
      </x:c>
      <x:c r="H6" s="33" t="str">
        <x:v>推荐</x:v>
      </x:c>
      <x:c r="I6" s="33" t="str">
        <x:v>条件可用</x:v>
      </x:c>
      <x:c r="J6" s="33" t="str">
        <x:v>可用</x:v>
      </x:c>
      <x:c r="K6" s="33" t="str">
        <x:v>推荐</x:v>
      </x:c>
      <x:c r="L6" s="33" t="str">
        <x:v>计入餐次及全天碳水与能量；控糖/脂肪肝需控制总量并搭配蛋白和非淀粉蔬菜。成品主食同时核对钠、添加糖和营养标签。</x:v>
      </x:c>
      <x:c r="M6" s="41" t="str">
        <x:v>待审核</x:v>
      </x:c>
    </x:row>
    <x:row r="7">
      <x:c r="A7" s="30" t="str">
        <x:v>C004</x:v>
      </x:c>
      <x:c r="B7" s="30" t="str">
        <x:v>燕麦早餐份</x:v>
      </x:c>
      <x:c r="C7" s="30" t="str">
        <x:v>staple</x:v>
      </x:c>
      <x:c r="D7" s="30" t="str">
        <x:v>whole_grain</x:v>
      </x:c>
      <x:c r="E7" s="30" t="str">
        <x:v>吞咽或胃肠耐受差时调整稠度。</x:v>
      </x:c>
      <x:c r="F7" s="37" t="str">
        <x:v>可跳过</x:v>
      </x:c>
      <x:c r="G7" s="33" t="str">
        <x:v>条件可用</x:v>
      </x:c>
      <x:c r="H7" s="33" t="str">
        <x:v>推荐</x:v>
      </x:c>
      <x:c r="I7" s="33" t="str">
        <x:v>可用</x:v>
      </x:c>
      <x:c r="J7" s="33" t="str">
        <x:v>可用</x:v>
      </x:c>
      <x:c r="K7" s="33" t="str">
        <x:v>推荐</x:v>
      </x:c>
      <x:c r="L7" s="33" t="str">
        <x:v>计入餐次及全天碳水与能量；控糖/脂肪肝需控制总量并搭配蛋白和非淀粉蔬菜。成品主食同时核对钠、添加糖和营养标签。</x:v>
      </x:c>
      <x:c r="M7" s="41" t="str">
        <x:v>待审核</x:v>
      </x:c>
    </x:row>
    <x:row r="8">
      <x:c r="A8" s="30" t="str">
        <x:v>C005</x:v>
      </x:c>
      <x:c r="B8" s="30" t="str">
        <x:v>全麦馒头基础份</x:v>
      </x:c>
      <x:c r="C8" s="30" t="str">
        <x:v>staple</x:v>
      </x:c>
      <x:c r="D8" s="30" t="str">
        <x:v>whole_grain</x:v>
      </x:c>
      <x:c r="E8" s="30" t="str">
        <x:v>购买成品需关注钠和添加糖。</x:v>
      </x:c>
      <x:c r="F8" s="37" t="str">
        <x:v>建议复核</x:v>
      </x:c>
      <x:c r="G8" s="33" t="str">
        <x:v>条件可用</x:v>
      </x:c>
      <x:c r="H8" s="33" t="str">
        <x:v>推荐</x:v>
      </x:c>
      <x:c r="I8" s="33" t="str">
        <x:v>可用</x:v>
      </x:c>
      <x:c r="J8" s="33" t="str">
        <x:v>条件可用</x:v>
      </x:c>
      <x:c r="K8" s="33" t="str">
        <x:v>推荐</x:v>
      </x:c>
      <x:c r="L8" s="33" t="str">
        <x:v>计入餐次及全天碳水与能量；控糖/脂肪肝需控制总量并搭配蛋白和非淀粉蔬菜。成品主食同时核对钠、添加糖和营养标签。</x:v>
      </x:c>
      <x:c r="M8" s="41" t="str">
        <x:v>待审核</x:v>
      </x:c>
    </x:row>
    <x:row r="9">
      <x:c r="A9" s="30" t="str">
        <x:v>C006</x:v>
      </x:c>
      <x:c r="B9" s="30" t="str">
        <x:v>鲜玉米基础份</x:v>
      </x:c>
      <x:c r="C9" s="30" t="str">
        <x:v>staple</x:v>
      </x:c>
      <x:c r="D9" s="30" t="str">
        <x:v>unknown</x:v>
      </x:c>
      <x:c r="E9" s="30" t="str">
        <x:v>消化不良者可减少份量。</x:v>
      </x:c>
      <x:c r="F9" s="37" t="str">
        <x:v>可跳过</x:v>
      </x:c>
      <x:c r="G9" s="33" t="str">
        <x:v>条件可用</x:v>
      </x:c>
      <x:c r="H9" s="33" t="str">
        <x:v>可用</x:v>
      </x:c>
      <x:c r="I9" s="33" t="str">
        <x:v>可用</x:v>
      </x:c>
      <x:c r="J9" s="33" t="str">
        <x:v>可用</x:v>
      </x:c>
      <x:c r="K9" s="33" t="str">
        <x:v>可用</x:v>
      </x:c>
      <x:c r="L9" s="33" t="str">
        <x:v>计入餐次及全天碳水与能量；控糖/脂肪肝需控制总量并搭配蛋白和非淀粉蔬菜。成品主食同时核对钠、添加糖和营养标签。</x:v>
      </x:c>
      <x:c r="M9" s="41" t="str">
        <x:v>待审核</x:v>
      </x:c>
    </x:row>
    <x:row r="10">
      <x:c r="A10" s="30" t="str">
        <x:v>C007</x:v>
      </x:c>
      <x:c r="B10" s="30" t="str">
        <x:v>蒸红薯基础份</x:v>
      </x:c>
      <x:c r="C10" s="30" t="str">
        <x:v>staple</x:v>
      </x:c>
      <x:c r="D10" s="30" t="str">
        <x:v>tuber</x:v>
      </x:c>
      <x:c r="E10" s="30" t="str">
        <x:v>糖代谢异常者仍需计入主食总量。</x:v>
      </x:c>
      <x:c r="F10" s="37" t="str">
        <x:v>建议复核</x:v>
      </x:c>
      <x:c r="G10" s="33" t="str">
        <x:v>条件可用</x:v>
      </x:c>
      <x:c r="H10" s="33" t="str">
        <x:v>可用</x:v>
      </x:c>
      <x:c r="I10" s="33" t="str">
        <x:v>可用</x:v>
      </x:c>
      <x:c r="J10" s="33" t="str">
        <x:v>可用</x:v>
      </x:c>
      <x:c r="K10" s="33" t="str">
        <x:v>可用</x:v>
      </x:c>
      <x:c r="L10" s="33" t="str">
        <x:v>计入餐次及全天碳水与能量；控糖/脂肪肝需控制总量并搭配蛋白和非淀粉蔬菜。成品主食同时核对钠、添加糖和营养标签。</x:v>
      </x:c>
      <x:c r="M10" s="41" t="str">
        <x:v>待审核</x:v>
      </x:c>
    </x:row>
    <x:row r="11">
      <x:c r="A11" s="30" t="str">
        <x:v>C008</x:v>
      </x:c>
      <x:c r="B11" s="30" t="str">
        <x:v>荞麦面基础份</x:v>
      </x:c>
      <x:c r="C11" s="30" t="str">
        <x:v>staple</x:v>
      </x:c>
      <x:c r="D11" s="30" t="str">
        <x:v>whole_grain</x:v>
      </x:c>
      <x:c r="E11" s="30" t="str">
        <x:v>注意面条成品钠含量。</x:v>
      </x:c>
      <x:c r="F11" s="37" t="str">
        <x:v>建议复核</x:v>
      </x:c>
      <x:c r="G11" s="33" t="str">
        <x:v>条件可用</x:v>
      </x:c>
      <x:c r="H11" s="33" t="str">
        <x:v>推荐</x:v>
      </x:c>
      <x:c r="I11" s="33" t="str">
        <x:v>可用</x:v>
      </x:c>
      <x:c r="J11" s="33" t="str">
        <x:v>条件可用</x:v>
      </x:c>
      <x:c r="K11" s="33" t="str">
        <x:v>推荐</x:v>
      </x:c>
      <x:c r="L11" s="33" t="str">
        <x:v>计入餐次及全天碳水与能量；控糖/脂肪肝需控制总量并搭配蛋白和非淀粉蔬菜。成品主食同时核对钠、添加糖和营养标签。</x:v>
      </x:c>
      <x:c r="M11" s="41" t="str">
        <x:v>待审核</x:v>
      </x:c>
    </x:row>
    <x:row r="12">
      <x:c r="A12" s="30" t="str">
        <x:v>C009</x:v>
      </x:c>
      <x:c r="B12" s="30" t="str">
        <x:v>小米粥基础份</x:v>
      </x:c>
      <x:c r="C12" s="30" t="str">
        <x:v>staple</x:v>
      </x:c>
      <x:c r="D12" s="30" t="str">
        <x:v>unknown</x:v>
      </x:c>
      <x:c r="E12" s="30" t="str">
        <x:v>粥类消化快，糖代谢异常者应搭配蛋白和蔬菜。</x:v>
      </x:c>
      <x:c r="F12" s="37" t="str">
        <x:v>建议复核</x:v>
      </x:c>
      <x:c r="G12" s="33" t="str">
        <x:v>条件可用</x:v>
      </x:c>
      <x:c r="H12" s="33" t="str">
        <x:v>可用</x:v>
      </x:c>
      <x:c r="I12" s="33" t="str">
        <x:v>可用</x:v>
      </x:c>
      <x:c r="J12" s="33" t="str">
        <x:v>可用</x:v>
      </x:c>
      <x:c r="K12" s="33" t="str">
        <x:v>条件可用</x:v>
      </x:c>
      <x:c r="L12" s="33" t="str">
        <x:v>计入餐次及全天碳水与能量；控糖/脂肪肝需控制总量并搭配蛋白和非淀粉蔬菜。成品主食同时核对钠、添加糖和营养标签。</x:v>
      </x:c>
      <x:c r="M12" s="41" t="str">
        <x:v>待审核</x:v>
      </x:c>
    </x:row>
    <x:row r="13">
      <x:c r="A13" s="30" t="str">
        <x:v>C010</x:v>
      </x:c>
      <x:c r="B13" s="30" t="str">
        <x:v>红豆小米粥</x:v>
      </x:c>
      <x:c r="C13" s="30" t="str">
        <x:v>staple</x:v>
      </x:c>
      <x:c r="D13" s="30" t="str">
        <x:v>unknown</x:v>
      </x:c>
      <x:c r="E13" s="30" t="str">
        <x:v>胃肠胀气明显时减量或替换。</x:v>
      </x:c>
      <x:c r="F13" s="37" t="str">
        <x:v>可跳过</x:v>
      </x:c>
      <x:c r="G13" s="33" t="str">
        <x:v>条件可用</x:v>
      </x:c>
      <x:c r="H13" s="33" t="str">
        <x:v>可用</x:v>
      </x:c>
      <x:c r="I13" s="33" t="str">
        <x:v>条件可用</x:v>
      </x:c>
      <x:c r="J13" s="33" t="str">
        <x:v>可用</x:v>
      </x:c>
      <x:c r="K13" s="33" t="str">
        <x:v>条件可用</x:v>
      </x:c>
      <x:c r="L13" s="33" t="str">
        <x:v>计入餐次及全天碳水与能量；控糖/脂肪肝需控制总量并搭配蛋白和非淀粉蔬菜。成品主食同时核对钠、添加糖和营养标签。</x:v>
      </x:c>
      <x:c r="M13" s="41" t="str">
        <x:v>待审核</x:v>
      </x:c>
    </x:row>
    <x:row r="14">
      <x:c r="A14" s="30" t="str">
        <x:v>C011</x:v>
      </x:c>
      <x:c r="B14" s="30" t="str">
        <x:v>全麦面包基础份</x:v>
      </x:c>
      <x:c r="C14" s="30" t="str">
        <x:v>staple</x:v>
      </x:c>
      <x:c r="D14" s="30" t="str">
        <x:v>whole_grain</x:v>
      </x:c>
      <x:c r="E14" s="30" t="str">
        <x:v>商业面包钠、糖、脂肪差异大，需读取标签。</x:v>
      </x:c>
      <x:c r="F14" s="37" t="str">
        <x:v>建议复核</x:v>
      </x:c>
      <x:c r="G14" s="33" t="str">
        <x:v>条件可用</x:v>
      </x:c>
      <x:c r="H14" s="33" t="str">
        <x:v>推荐</x:v>
      </x:c>
      <x:c r="I14" s="33" t="str">
        <x:v>可用</x:v>
      </x:c>
      <x:c r="J14" s="33" t="str">
        <x:v>条件可用</x:v>
      </x:c>
      <x:c r="K14" s="33" t="str">
        <x:v>推荐</x:v>
      </x:c>
      <x:c r="L14" s="33" t="str">
        <x:v>计入餐次及全天碳水与能量；控糖/脂肪肝需控制总量并搭配蛋白和非淀粉蔬菜。成品主食同时核对钠、添加糖和营养标签。</x:v>
      </x:c>
      <x:c r="M14" s="41" t="str">
        <x:v>待审核</x:v>
      </x:c>
    </x:row>
    <x:row r="15">
      <x:c r="A15" s="30" t="str">
        <x:v>C012</x:v>
      </x:c>
      <x:c r="B15" s="30" t="str">
        <x:v>山药主食份</x:v>
      </x:c>
      <x:c r="C15" s="30" t="str">
        <x:v>staple</x:v>
      </x:c>
      <x:c r="D15" s="30" t="str">
        <x:v>tuber</x:v>
      </x:c>
      <x:c r="E15" s="30" t="str">
        <x:v>能量较低，D/E型若需增加能量应搭配其他主食和蛋白。</x:v>
      </x:c>
      <x:c r="F15" s="37" t="str">
        <x:v>可跳过</x:v>
      </x:c>
      <x:c r="G15" s="33" t="str">
        <x:v>条件可用</x:v>
      </x:c>
      <x:c r="H15" s="33" t="str">
        <x:v>可用</x:v>
      </x:c>
      <x:c r="I15" s="33" t="str">
        <x:v>可用</x:v>
      </x:c>
      <x:c r="J15" s="33" t="str">
        <x:v>可用</x:v>
      </x:c>
      <x:c r="K15" s="33" t="str">
        <x:v>可用</x:v>
      </x:c>
      <x:c r="L15" s="33" t="str">
        <x:v>计入餐次及全天碳水与能量；控糖/脂肪肝需控制总量并搭配蛋白和非淀粉蔬菜。成品主食同时核对钠、添加糖和营养标签。</x:v>
      </x:c>
      <x:c r="M15" s="41" t="str">
        <x:v>待审核</x:v>
      </x:c>
    </x:row>
    <x:row r="16">
      <x:c r="A16" s="30" t="str">
        <x:v>P001</x:v>
      </x:c>
      <x:c r="B16" s="30" t="str">
        <x:v>清蒸鲈鱼</x:v>
      </x:c>
      <x:c r="C16" s="30" t="str">
        <x:v>protein</x:v>
      </x:c>
      <x:c r="D16" s="30" t="str">
        <x:v>fish</x:v>
      </x:c>
      <x:c r="E16" s="30" t="str">
        <x:v>鱼类过敏者禁用；严重肾病蛋白目标另行评估。</x:v>
      </x:c>
      <x:c r="F16" s="37" t="str">
        <x:v>建议复核</x:v>
      </x:c>
      <x:c r="G16" s="33" t="str">
        <x:v>可用</x:v>
      </x:c>
      <x:c r="H16" s="33" t="str">
        <x:v>推荐</x:v>
      </x:c>
      <x:c r="I16" s="33" t="str">
        <x:v>条件可用</x:v>
      </x:c>
      <x:c r="J16" s="33" t="str">
        <x:v>可用</x:v>
      </x:c>
      <x:c r="K16" s="33" t="str">
        <x:v>推荐</x:v>
      </x:c>
      <x:c r="L16" s="33" t="str">
        <x:v>高尿酸/痛风按病期、总量及肾功能个体化；不以单一食材标签替代全天嘌呤和蛋白管理。控盐按实际调味品钠计。</x:v>
      </x:c>
      <x:c r="M16" s="41" t="str">
        <x:v>待审核</x:v>
      </x:c>
    </x:row>
    <x:row r="17">
      <x:c r="A17" s="30" t="str">
        <x:v>P002</x:v>
      </x:c>
      <x:c r="B17" s="30" t="str">
        <x:v>清蒸鳕鱼</x:v>
      </x:c>
      <x:c r="C17" s="30" t="str">
        <x:v>protein</x:v>
      </x:c>
      <x:c r="D17" s="30" t="str">
        <x:v>fish</x:v>
      </x:c>
      <x:c r="E17" s="30" t="str">
        <x:v>鱼类过敏者禁用。</x:v>
      </x:c>
      <x:c r="F17" s="37" t="str">
        <x:v>可跳过</x:v>
      </x:c>
      <x:c r="G17" s="33" t="str">
        <x:v>可用</x:v>
      </x:c>
      <x:c r="H17" s="33" t="str">
        <x:v>推荐</x:v>
      </x:c>
      <x:c r="I17" s="33" t="str">
        <x:v>条件可用</x:v>
      </x:c>
      <x:c r="J17" s="33" t="str">
        <x:v>可用</x:v>
      </x:c>
      <x:c r="K17" s="33" t="str">
        <x:v>推荐</x:v>
      </x:c>
      <x:c r="L17" s="33" t="str">
        <x:v>高尿酸/痛风按病期、总量及肾功能个体化；不以单一食材标签替代全天嘌呤和蛋白管理。控盐按实际调味品钠计。</x:v>
      </x:c>
      <x:c r="M17" s="41" t="str">
        <x:v>待审核</x:v>
      </x:c>
    </x:row>
    <x:row r="18">
      <x:c r="A18" s="30" t="str">
        <x:v>P003</x:v>
      </x:c>
      <x:c r="B18" s="30" t="str">
        <x:v>香草/葱姜鸡胸</x:v>
      </x:c>
      <x:c r="C18" s="30" t="str">
        <x:v>protein</x:v>
      </x:c>
      <x:c r="D18" s="30" t="str">
        <x:v>poultry</x:v>
      </x:c>
      <x:c r="E18" s="30" t="str">
        <x:v>咀嚼困难者切碎或改软烂烹饪。</x:v>
      </x:c>
      <x:c r="F18" s="37" t="str">
        <x:v>可跳过</x:v>
      </x:c>
      <x:c r="G18" s="33" t="str">
        <x:v>可用</x:v>
      </x:c>
      <x:c r="H18" s="33" t="str">
        <x:v>推荐</x:v>
      </x:c>
      <x:c r="I18" s="33" t="str">
        <x:v>条件可用</x:v>
      </x:c>
      <x:c r="J18" s="33" t="str">
        <x:v>可用</x:v>
      </x:c>
      <x:c r="K18" s="33" t="str">
        <x:v>推荐</x:v>
      </x:c>
      <x:c r="L18" s="33" t="str">
        <x:v>高尿酸/痛风按病期、总量及肾功能个体化；不以单一食材标签替代全天嘌呤和蛋白管理。控盐按实际调味品钠计。</x:v>
      </x:c>
      <x:c r="M18" s="41" t="str">
        <x:v>待审核</x:v>
      </x:c>
    </x:row>
    <x:row r="19">
      <x:c r="A19" s="30" t="str">
        <x:v>P004</x:v>
      </x:c>
      <x:c r="B19" s="30" t="str">
        <x:v>去皮鸡腿肉炖菇</x:v>
      </x:c>
      <x:c r="C19" s="30" t="str">
        <x:v>protein</x:v>
      </x:c>
      <x:c r="D19" s="30" t="str">
        <x:v>poultry</x:v>
      </x:c>
      <x:c r="E19" s="30" t="str">
        <x:v>脂肪控制严格者优先P003。</x:v>
      </x:c>
      <x:c r="F19" s="37" t="str">
        <x:v>建议复核</x:v>
      </x:c>
      <x:c r="G19" s="33" t="str">
        <x:v>可用</x:v>
      </x:c>
      <x:c r="H19" s="33" t="str">
        <x:v>推荐</x:v>
      </x:c>
      <x:c r="I19" s="33" t="str">
        <x:v>条件可用</x:v>
      </x:c>
      <x:c r="J19" s="33" t="str">
        <x:v>可用</x:v>
      </x:c>
      <x:c r="K19" s="33" t="str">
        <x:v>推荐</x:v>
      </x:c>
      <x:c r="L19" s="33" t="str">
        <x:v>高尿酸/痛风按病期、总量及肾功能个体化；不以单一食材标签替代全天嘌呤和蛋白管理。控盐按实际调味品钠计。</x:v>
      </x:c>
      <x:c r="M19" s="41" t="str">
        <x:v>待审核</x:v>
      </x:c>
    </x:row>
    <x:row r="20">
      <x:c r="A20" s="30" t="str">
        <x:v>P005</x:v>
      </x:c>
      <x:c r="B20" s="30" t="str">
        <x:v>番茄炖瘦牛肉</x:v>
      </x:c>
      <x:c r="C20" s="30" t="str">
        <x:v>protein</x:v>
      </x:c>
      <x:c r="D20" s="30" t="str">
        <x:v>lean_meat</x:v>
      </x:c>
      <x:c r="E20" s="30" t="str">
        <x:v>高尿酸/痛风患者肉类总量及急性期策略需按医护规则。</x:v>
      </x:c>
      <x:c r="F20" s="37" t="str">
        <x:v>建议复核</x:v>
      </x:c>
      <x:c r="G20" s="33" t="str">
        <x:v>可用</x:v>
      </x:c>
      <x:c r="H20" s="33" t="str">
        <x:v>可用</x:v>
      </x:c>
      <x:c r="I20" s="33" t="str">
        <x:v>条件可用</x:v>
      </x:c>
      <x:c r="J20" s="33" t="str">
        <x:v>可用</x:v>
      </x:c>
      <x:c r="K20" s="33" t="str">
        <x:v>推荐</x:v>
      </x:c>
      <x:c r="L20" s="33" t="str">
        <x:v>高尿酸/痛风按病期、总量及肾功能个体化；不以单一食材标签替代全天嘌呤和蛋白管理。控盐按实际调味品钠计。</x:v>
      </x:c>
      <x:c r="M20" s="41" t="str">
        <x:v>待审核</x:v>
      </x:c>
    </x:row>
    <x:row r="21">
      <x:c r="A21" s="30" t="str">
        <x:v>P006</x:v>
      </x:c>
      <x:c r="B21" s="30" t="str">
        <x:v>芹菜木耳里脊</x:v>
      </x:c>
      <x:c r="C21" s="30" t="str">
        <x:v>protein</x:v>
      </x:c>
      <x:c r="D21" s="30" t="str">
        <x:v>lean_meat</x:v>
      </x:c>
      <x:c r="E21" s="30" t="str">
        <x:v>高血压者避免酱油/蚝油过量。</x:v>
      </x:c>
      <x:c r="F21" s="37" t="str">
        <x:v>建议复核</x:v>
      </x:c>
      <x:c r="G21" s="33" t="str">
        <x:v>可用</x:v>
      </x:c>
      <x:c r="H21" s="33" t="str">
        <x:v>可用</x:v>
      </x:c>
      <x:c r="I21" s="33" t="str">
        <x:v>条件可用</x:v>
      </x:c>
      <x:c r="J21" s="33" t="str">
        <x:v>条件可用</x:v>
      </x:c>
      <x:c r="K21" s="33" t="str">
        <x:v>推荐</x:v>
      </x:c>
      <x:c r="L21" s="33" t="str">
        <x:v>高尿酸/痛风按病期、总量及肾功能个体化；不以单一食材标签替代全天嘌呤和蛋白管理。控盐按实际调味品钠计。</x:v>
      </x:c>
      <x:c r="M21" s="41" t="str">
        <x:v>待审核</x:v>
      </x:c>
    </x:row>
    <x:row r="22">
      <x:c r="A22" s="30" t="str">
        <x:v>P007</x:v>
      </x:c>
      <x:c r="B22" s="30" t="str">
        <x:v>虾仁蒸蛋</x:v>
      </x:c>
      <x:c r="C22" s="30" t="str">
        <x:v>protein</x:v>
      </x:c>
      <x:c r="D22" s="30" t="str">
        <x:v>fish</x:v>
      </x:c>
      <x:c r="E22" s="30" t="str">
        <x:v>海鲜过敏禁用；高尿酸患者按个体规则。</x:v>
      </x:c>
      <x:c r="F22" s="37" t="str">
        <x:v>建议复核</x:v>
      </x:c>
      <x:c r="G22" s="33" t="str">
        <x:v>可用</x:v>
      </x:c>
      <x:c r="H22" s="33" t="str">
        <x:v>推荐</x:v>
      </x:c>
      <x:c r="I22" s="33" t="str">
        <x:v>条件可用</x:v>
      </x:c>
      <x:c r="J22" s="33" t="str">
        <x:v>可用</x:v>
      </x:c>
      <x:c r="K22" s="33" t="str">
        <x:v>推荐</x:v>
      </x:c>
      <x:c r="L22" s="33" t="str">
        <x:v>高尿酸/痛风按病期、总量及肾功能个体化；不以单一食材标签替代全天嘌呤和蛋白管理。控盐按实际调味品钠计。</x:v>
      </x:c>
      <x:c r="M22" s="41" t="str">
        <x:v>待审核</x:v>
      </x:c>
    </x:row>
    <x:row r="23">
      <x:c r="A23" s="30" t="str">
        <x:v>P008</x:v>
      </x:c>
      <x:c r="B23" s="30" t="str">
        <x:v>香菇烧北豆腐</x:v>
      </x:c>
      <x:c r="C23" s="30" t="str">
        <x:v>protein</x:v>
      </x:c>
      <x:c r="D23" s="30" t="str">
        <x:v>soy</x:v>
      </x:c>
      <x:c r="E23" s="30" t="str">
        <x:v>胃肠胀气者观察耐受。</x:v>
      </x:c>
      <x:c r="F23" s="37" t="str">
        <x:v>可跳过</x:v>
      </x:c>
      <x:c r="G23" s="33" t="str">
        <x:v>可用</x:v>
      </x:c>
      <x:c r="H23" s="33" t="str">
        <x:v>推荐</x:v>
      </x:c>
      <x:c r="I23" s="33" t="str">
        <x:v>可用</x:v>
      </x:c>
      <x:c r="J23" s="33" t="str">
        <x:v>可用</x:v>
      </x:c>
      <x:c r="K23" s="33" t="str">
        <x:v>推荐</x:v>
      </x:c>
      <x:c r="L23" s="33" t="str">
        <x:v>优先少油少盐烹调；蛋类、豆制品及乳品纳入全天蛋白、脂肪和能量计划，特殊肾功能限制另行评估。</x:v>
      </x:c>
      <x:c r="M23" s="41" t="str">
        <x:v>待审核</x:v>
      </x:c>
    </x:row>
    <x:row r="24">
      <x:c r="A24" s="30" t="str">
        <x:v>P009</x:v>
      </x:c>
      <x:c r="B24" s="30" t="str">
        <x:v>番茄炒蛋（少油版）</x:v>
      </x:c>
      <x:c r="C24" s="30" t="str">
        <x:v>protein</x:v>
      </x:c>
      <x:c r="D24" s="30" t="str">
        <x:v>egg</x:v>
      </x:c>
      <x:c r="E24" s="30" t="str">
        <x:v>血脂异常者鸡蛋总量按整体膳食计划。</x:v>
      </x:c>
      <x:c r="F24" s="37" t="str">
        <x:v>建议复核</x:v>
      </x:c>
      <x:c r="G24" s="33" t="str">
        <x:v>可用</x:v>
      </x:c>
      <x:c r="H24" s="33" t="str">
        <x:v>可用</x:v>
      </x:c>
      <x:c r="I24" s="33" t="str">
        <x:v>推荐</x:v>
      </x:c>
      <x:c r="J24" s="33" t="str">
        <x:v>可用</x:v>
      </x:c>
      <x:c r="K24" s="33" t="str">
        <x:v>可用</x:v>
      </x:c>
      <x:c r="L24" s="33" t="str">
        <x:v>优先少油少盐烹调；蛋类、豆制品及乳品纳入全天蛋白、脂肪和能量计划，特殊肾功能限制另行评估。</x:v>
      </x:c>
      <x:c r="M24" s="41" t="str">
        <x:v>待审核</x:v>
      </x:c>
    </x:row>
    <x:row r="25">
      <x:c r="A25" s="30" t="str">
        <x:v>P010</x:v>
      </x:c>
      <x:c r="B25" s="30" t="str">
        <x:v>西兰花虾仁</x:v>
      </x:c>
      <x:c r="C25" s="30" t="str">
        <x:v>protein</x:v>
      </x:c>
      <x:c r="D25" s="30" t="str">
        <x:v>fish</x:v>
      </x:c>
      <x:c r="E25" s="30" t="str">
        <x:v>海鲜过敏禁用。</x:v>
      </x:c>
      <x:c r="F25" s="37" t="str">
        <x:v>可跳过</x:v>
      </x:c>
      <x:c r="G25" s="33" t="str">
        <x:v>可用</x:v>
      </x:c>
      <x:c r="H25" s="33" t="str">
        <x:v>推荐</x:v>
      </x:c>
      <x:c r="I25" s="33" t="str">
        <x:v>条件可用</x:v>
      </x:c>
      <x:c r="J25" s="33" t="str">
        <x:v>可用</x:v>
      </x:c>
      <x:c r="K25" s="33" t="str">
        <x:v>推荐</x:v>
      </x:c>
      <x:c r="L25" s="33" t="str">
        <x:v>高尿酸/痛风按病期、总量及肾功能个体化；不以单一食材标签替代全天嘌呤和蛋白管理。控盐按实际调味品钠计。</x:v>
      </x:c>
      <x:c r="M25" s="41" t="str">
        <x:v>待审核</x:v>
      </x:c>
    </x:row>
    <x:row r="26">
      <x:c r="A26" s="30" t="str">
        <x:v>P011</x:v>
      </x:c>
      <x:c r="B26" s="30" t="str">
        <x:v>鸡胸彩椒</x:v>
      </x:c>
      <x:c r="C26" s="30" t="str">
        <x:v>protein</x:v>
      </x:c>
      <x:c r="D26" s="30" t="str">
        <x:v>poultry</x:v>
      </x:c>
      <x:c r="E26" s="30" t="str">
        <x:v>无特殊。</x:v>
      </x:c>
      <x:c r="F26" s="37" t="str">
        <x:v>可跳过</x:v>
      </x:c>
      <x:c r="G26" s="33" t="str">
        <x:v>可用</x:v>
      </x:c>
      <x:c r="H26" s="33" t="str">
        <x:v>推荐</x:v>
      </x:c>
      <x:c r="I26" s="33" t="str">
        <x:v>条件可用</x:v>
      </x:c>
      <x:c r="J26" s="33" t="str">
        <x:v>可用</x:v>
      </x:c>
      <x:c r="K26" s="33" t="str">
        <x:v>推荐</x:v>
      </x:c>
      <x:c r="L26" s="33" t="str">
        <x:v>高尿酸/痛风按病期、总量及肾功能个体化；不以单一食材标签替代全天嘌呤和蛋白管理。控盐按实际调味品钠计。</x:v>
      </x:c>
      <x:c r="M26" s="41" t="str">
        <x:v>待审核</x:v>
      </x:c>
    </x:row>
    <x:row r="27">
      <x:c r="A27" s="30" t="str">
        <x:v>P012</x:v>
      </x:c>
      <x:c r="B27" s="30" t="str">
        <x:v>牛肉西葫芦</x:v>
      </x:c>
      <x:c r="C27" s="30" t="str">
        <x:v>protein</x:v>
      </x:c>
      <x:c r="D27" s="30" t="str">
        <x:v>lean_meat</x:v>
      </x:c>
      <x:c r="E27" s="30" t="str">
        <x:v>高尿酸者按个体规则。</x:v>
      </x:c>
      <x:c r="F27" s="37" t="str">
        <x:v>建议复核</x:v>
      </x:c>
      <x:c r="G27" s="33" t="str">
        <x:v>可用</x:v>
      </x:c>
      <x:c r="H27" s="33" t="str">
        <x:v>可用</x:v>
      </x:c>
      <x:c r="I27" s="33" t="str">
        <x:v>条件可用</x:v>
      </x:c>
      <x:c r="J27" s="33" t="str">
        <x:v>可用</x:v>
      </x:c>
      <x:c r="K27" s="33" t="str">
        <x:v>推荐</x:v>
      </x:c>
      <x:c r="L27" s="33" t="str">
        <x:v>高尿酸/痛风按病期、总量及肾功能个体化；不以单一食材标签替代全天嘌呤和蛋白管理。控盐按实际调味品钠计。</x:v>
      </x:c>
      <x:c r="M27" s="41" t="str">
        <x:v>待审核</x:v>
      </x:c>
    </x:row>
    <x:row r="28">
      <x:c r="A28" s="30" t="str">
        <x:v>P013</x:v>
      </x:c>
      <x:c r="B28" s="30" t="str">
        <x:v>冬瓜豆腐虾仁汤</x:v>
      </x:c>
      <x:c r="C28" s="30" t="str">
        <x:v>protein</x:v>
      </x:c>
      <x:c r="D28" s="30" t="str">
        <x:v>fish</x:v>
      </x:c>
      <x:c r="E28" s="30" t="str">
        <x:v>海鲜过敏者去虾仁并增加豆腐/鸡蛋。</x:v>
      </x:c>
      <x:c r="F28" s="37" t="str">
        <x:v>可跳过</x:v>
      </x:c>
      <x:c r="G28" s="33" t="str">
        <x:v>可用</x:v>
      </x:c>
      <x:c r="H28" s="33" t="str">
        <x:v>推荐</x:v>
      </x:c>
      <x:c r="I28" s="33" t="str">
        <x:v>条件可用</x:v>
      </x:c>
      <x:c r="J28" s="33" t="str">
        <x:v>可用</x:v>
      </x:c>
      <x:c r="K28" s="33" t="str">
        <x:v>推荐</x:v>
      </x:c>
      <x:c r="L28" s="33" t="str">
        <x:v>高尿酸/痛风按病期、总量及肾功能个体化；不以单一食材标签替代全天嘌呤和蛋白管理。控盐按实际调味品钠计。</x:v>
      </x:c>
      <x:c r="M28" s="41" t="str">
        <x:v>待审核</x:v>
      </x:c>
    </x:row>
    <x:row r="29">
      <x:c r="A29" s="30" t="str">
        <x:v>P014</x:v>
      </x:c>
      <x:c r="B29" s="30" t="str">
        <x:v>鸡蛋豆腐羹</x:v>
      </x:c>
      <x:c r="C29" s="30" t="str">
        <x:v>protein</x:v>
      </x:c>
      <x:c r="D29" s="30" t="str">
        <x:v>egg</x:v>
      </x:c>
      <x:c r="E29" s="30" t="str">
        <x:v>肾功能限制者按蛋白计划。</x:v>
      </x:c>
      <x:c r="F29" s="37" t="str">
        <x:v>建议复核</x:v>
      </x:c>
      <x:c r="G29" s="33" t="str">
        <x:v>可用</x:v>
      </x:c>
      <x:c r="H29" s="33" t="str">
        <x:v>可用</x:v>
      </x:c>
      <x:c r="I29" s="33" t="str">
        <x:v>推荐</x:v>
      </x:c>
      <x:c r="J29" s="33" t="str">
        <x:v>可用</x:v>
      </x:c>
      <x:c r="K29" s="33" t="str">
        <x:v>可用</x:v>
      </x:c>
      <x:c r="L29" s="33" t="str">
        <x:v>优先少油少盐烹调；蛋类、豆制品及乳品纳入全天蛋白、脂肪和能量计划，特殊肾功能限制另行评估。</x:v>
      </x:c>
      <x:c r="M29" s="41" t="str">
        <x:v>待审核</x:v>
      </x:c>
    </x:row>
    <x:row r="30">
      <x:c r="A30" s="30" t="str">
        <x:v>P015</x:v>
      </x:c>
      <x:c r="B30" s="30" t="str">
        <x:v>低脂奶蛋组合</x:v>
      </x:c>
      <x:c r="C30" s="30" t="str">
        <x:v>protein</x:v>
      </x:c>
      <x:c r="D30" s="30" t="str">
        <x:v>egg</x:v>
      </x:c>
      <x:c r="E30" s="30" t="str">
        <x:v>乳糖不耐受者用无乳糖奶/无糖豆浆。</x:v>
      </x:c>
      <x:c r="F30" s="37" t="str">
        <x:v>建议复核</x:v>
      </x:c>
      <x:c r="G30" s="33" t="str">
        <x:v>可用</x:v>
      </x:c>
      <x:c r="H30" s="33" t="str">
        <x:v>可用</x:v>
      </x:c>
      <x:c r="I30" s="33" t="str">
        <x:v>推荐</x:v>
      </x:c>
      <x:c r="J30" s="33" t="str">
        <x:v>可用</x:v>
      </x:c>
      <x:c r="K30" s="33" t="str">
        <x:v>可用</x:v>
      </x:c>
      <x:c r="L30" s="33" t="str">
        <x:v>优先少油少盐烹调；蛋类、豆制品及乳品纳入全天蛋白、脂肪和能量计划，特殊肾功能限制另行评估。</x:v>
      </x:c>
      <x:c r="M30" s="41" t="str">
        <x:v>待审核</x:v>
      </x:c>
    </x:row>
    <x:row r="31">
      <x:c r="A31" s="30" t="str">
        <x:v>V001</x:v>
      </x:c>
      <x:c r="B31" s="30" t="str">
        <x:v>蒜香西兰花</x:v>
      </x:c>
      <x:c r="C31" s="30" t="str">
        <x:v>vegetable</x:v>
      </x:c>
      <x:c r="D31" s="30" t="str">
        <x:v>unknown</x:v>
      </x:c>
      <x:c r="E31" s="30" t="str">
        <x:v>无特殊。</x:v>
      </x:c>
      <x:c r="F31" s="37" t="str">
        <x:v>可跳过</x:v>
      </x:c>
      <x:c r="G31" s="33" t="str">
        <x:v>推荐</x:v>
      </x:c>
      <x:c r="H31" s="33" t="str">
        <x:v>推荐</x:v>
      </x:c>
      <x:c r="I31" s="33" t="str">
        <x:v>可用</x:v>
      </x:c>
      <x:c r="J31" s="33" t="str">
        <x:v>推荐</x:v>
      </x:c>
      <x:c r="K31" s="33" t="str">
        <x:v>推荐</x:v>
      </x:c>
      <x:c r="L31" s="33" t="str">
        <x:v>以少油少盐及合适熟度为前提；围手术期免疫低下或食品卫生风险高时避免生食，特殊肾病管理另行评估。</x:v>
      </x:c>
      <x:c r="M31" s="41" t="str">
        <x:v>待审核</x:v>
      </x:c>
    </x:row>
    <x:row r="32">
      <x:c r="A32" s="30" t="str">
        <x:v>V002</x:v>
      </x:c>
      <x:c r="B32" s="30" t="str">
        <x:v>清炒菠菜</x:v>
      </x:c>
      <x:c r="C32" s="30" t="str">
        <x:v>vegetable</x:v>
      </x:c>
      <x:c r="D32" s="30" t="str">
        <x:v>unknown</x:v>
      </x:c>
      <x:c r="E32" s="30" t="str">
        <x:v>特定草酸/肾病管理按医护意见。</x:v>
      </x:c>
      <x:c r="F32" s="37" t="str">
        <x:v>建议复核</x:v>
      </x:c>
      <x:c r="G32" s="33" t="str">
        <x:v>推荐</x:v>
      </x:c>
      <x:c r="H32" s="33" t="str">
        <x:v>推荐</x:v>
      </x:c>
      <x:c r="I32" s="33" t="str">
        <x:v>可用</x:v>
      </x:c>
      <x:c r="J32" s="33" t="str">
        <x:v>推荐</x:v>
      </x:c>
      <x:c r="K32" s="33" t="str">
        <x:v>推荐</x:v>
      </x:c>
      <x:c r="L32" s="33" t="str">
        <x:v>以少油少盐及合适熟度为前提；围手术期免疫低下或食品卫生风险高时避免生食，特殊肾病管理另行评估。</x:v>
      </x:c>
      <x:c r="M32" s="41" t="str">
        <x:v>待审核</x:v>
      </x:c>
    </x:row>
    <x:row r="33">
      <x:c r="A33" s="30" t="str">
        <x:v>V003</x:v>
      </x:c>
      <x:c r="B33" s="30" t="str">
        <x:v>香菇油麦菜</x:v>
      </x:c>
      <x:c r="C33" s="30" t="str">
        <x:v>vegetable</x:v>
      </x:c>
      <x:c r="D33" s="30" t="str">
        <x:v>unknown</x:v>
      </x:c>
      <x:c r="E33" s="30" t="str">
        <x:v>无特殊。</x:v>
      </x:c>
      <x:c r="F33" s="37" t="str">
        <x:v>可跳过</x:v>
      </x:c>
      <x:c r="G33" s="33" t="str">
        <x:v>推荐</x:v>
      </x:c>
      <x:c r="H33" s="33" t="str">
        <x:v>推荐</x:v>
      </x:c>
      <x:c r="I33" s="33" t="str">
        <x:v>可用</x:v>
      </x:c>
      <x:c r="J33" s="33" t="str">
        <x:v>推荐</x:v>
      </x:c>
      <x:c r="K33" s="33" t="str">
        <x:v>推荐</x:v>
      </x:c>
      <x:c r="L33" s="33" t="str">
        <x:v>以少油少盐及合适熟度为前提；围手术期免疫低下或食品卫生风险高时避免生食，特殊肾病管理另行评估。</x:v>
      </x:c>
      <x:c r="M33" s="41" t="str">
        <x:v>待审核</x:v>
      </x:c>
    </x:row>
    <x:row r="34">
      <x:c r="A34" s="30" t="str">
        <x:v>V004</x:v>
      </x:c>
      <x:c r="B34" s="30" t="str">
        <x:v>清炒圆白菜</x:v>
      </x:c>
      <x:c r="C34" s="30" t="str">
        <x:v>vegetable</x:v>
      </x:c>
      <x:c r="D34" s="30" t="str">
        <x:v>unknown</x:v>
      </x:c>
      <x:c r="E34" s="30" t="str">
        <x:v>无特殊。</x:v>
      </x:c>
      <x:c r="F34" s="37" t="str">
        <x:v>可跳过</x:v>
      </x:c>
      <x:c r="G34" s="33" t="str">
        <x:v>推荐</x:v>
      </x:c>
      <x:c r="H34" s="33" t="str">
        <x:v>推荐</x:v>
      </x:c>
      <x:c r="I34" s="33" t="str">
        <x:v>可用</x:v>
      </x:c>
      <x:c r="J34" s="33" t="str">
        <x:v>推荐</x:v>
      </x:c>
      <x:c r="K34" s="33" t="str">
        <x:v>推荐</x:v>
      </x:c>
      <x:c r="L34" s="33" t="str">
        <x:v>以少油少盐及合适熟度为前提；围手术期免疫低下或食品卫生风险高时避免生食，特殊肾病管理另行评估。</x:v>
      </x:c>
      <x:c r="M34" s="41" t="str">
        <x:v>待审核</x:v>
      </x:c>
    </x:row>
    <x:row r="35">
      <x:c r="A35" s="30" t="str">
        <x:v>V005</x:v>
      </x:c>
      <x:c r="B35" s="30" t="str">
        <x:v>芹菜木耳</x:v>
      </x:c>
      <x:c r="C35" s="30" t="str">
        <x:v>vegetable</x:v>
      </x:c>
      <x:c r="D35" s="30" t="str">
        <x:v>unknown</x:v>
      </x:c>
      <x:c r="E35" s="30" t="str">
        <x:v>吞咽/咀嚼差者切细煮软。</x:v>
      </x:c>
      <x:c r="F35" s="37" t="str">
        <x:v>可跳过</x:v>
      </x:c>
      <x:c r="G35" s="33" t="str">
        <x:v>推荐</x:v>
      </x:c>
      <x:c r="H35" s="33" t="str">
        <x:v>推荐</x:v>
      </x:c>
      <x:c r="I35" s="33" t="str">
        <x:v>可用</x:v>
      </x:c>
      <x:c r="J35" s="33" t="str">
        <x:v>推荐</x:v>
      </x:c>
      <x:c r="K35" s="33" t="str">
        <x:v>推荐</x:v>
      </x:c>
      <x:c r="L35" s="33" t="str">
        <x:v>以少油少盐及合适熟度为前提；围手术期免疫低下或食品卫生风险高时避免生食，特殊肾病管理另行评估。</x:v>
      </x:c>
      <x:c r="M35" s="41" t="str">
        <x:v>待审核</x:v>
      </x:c>
    </x:row>
    <x:row r="36">
      <x:c r="A36" s="30" t="str">
        <x:v>V006</x:v>
      </x:c>
      <x:c r="B36" s="30" t="str">
        <x:v>番茄黄瓜双拼</x:v>
      </x:c>
      <x:c r="C36" s="30" t="str">
        <x:v>vegetable</x:v>
      </x:c>
      <x:c r="D36" s="30" t="str">
        <x:v>unknown</x:v>
      </x:c>
      <x:c r="E36" s="30" t="str">
        <x:v>胃肠敏感/免疫低下时注意食品卫生或改熟食。</x:v>
      </x:c>
      <x:c r="F36" s="37" t="str">
        <x:v>可跳过</x:v>
      </x:c>
      <x:c r="G36" s="33" t="str">
        <x:v>推荐</x:v>
      </x:c>
      <x:c r="H36" s="33" t="str">
        <x:v>推荐</x:v>
      </x:c>
      <x:c r="I36" s="33" t="str">
        <x:v>可用</x:v>
      </x:c>
      <x:c r="J36" s="33" t="str">
        <x:v>推荐</x:v>
      </x:c>
      <x:c r="K36" s="33" t="str">
        <x:v>推荐</x:v>
      </x:c>
      <x:c r="L36" s="33" t="str">
        <x:v>以少油少盐及合适熟度为前提；围手术期免疫低下或食品卫生风险高时避免生食，特殊肾病管理另行评估。</x:v>
      </x:c>
      <x:c r="M36" s="41" t="str">
        <x:v>待审核</x:v>
      </x:c>
    </x:row>
    <x:row r="37">
      <x:c r="A37" s="30" t="str">
        <x:v>V007</x:v>
      </x:c>
      <x:c r="B37" s="30" t="str">
        <x:v>彩椒杏鲍菇</x:v>
      </x:c>
      <x:c r="C37" s="30" t="str">
        <x:v>vegetable</x:v>
      </x:c>
      <x:c r="D37" s="30" t="str">
        <x:v>unknown</x:v>
      </x:c>
      <x:c r="E37" s="30" t="str">
        <x:v>无特殊。</x:v>
      </x:c>
      <x:c r="F37" s="37" t="str">
        <x:v>可跳过</x:v>
      </x:c>
      <x:c r="G37" s="33" t="str">
        <x:v>推荐</x:v>
      </x:c>
      <x:c r="H37" s="33" t="str">
        <x:v>推荐</x:v>
      </x:c>
      <x:c r="I37" s="33" t="str">
        <x:v>可用</x:v>
      </x:c>
      <x:c r="J37" s="33" t="str">
        <x:v>推荐</x:v>
      </x:c>
      <x:c r="K37" s="33" t="str">
        <x:v>推荐</x:v>
      </x:c>
      <x:c r="L37" s="33" t="str">
        <x:v>以少油少盐及合适熟度为前提；围手术期免疫低下或食品卫生风险高时避免生食，特殊肾病管理另行评估。</x:v>
      </x:c>
      <x:c r="M37" s="41" t="str">
        <x:v>待审核</x:v>
      </x:c>
    </x:row>
    <x:row r="38">
      <x:c r="A38" s="30" t="str">
        <x:v>V008</x:v>
      </x:c>
      <x:c r="B38" s="30" t="str">
        <x:v>胡萝卜西葫芦</x:v>
      </x:c>
      <x:c r="C38" s="30" t="str">
        <x:v>vegetable</x:v>
      </x:c>
      <x:c r="D38" s="30" t="str">
        <x:v>unknown</x:v>
      </x:c>
      <x:c r="E38" s="30" t="str">
        <x:v>无特殊。</x:v>
      </x:c>
      <x:c r="F38" s="37" t="str">
        <x:v>可跳过</x:v>
      </x:c>
      <x:c r="G38" s="33" t="str">
        <x:v>推荐</x:v>
      </x:c>
      <x:c r="H38" s="33" t="str">
        <x:v>推荐</x:v>
      </x:c>
      <x:c r="I38" s="33" t="str">
        <x:v>可用</x:v>
      </x:c>
      <x:c r="J38" s="33" t="str">
        <x:v>推荐</x:v>
      </x:c>
      <x:c r="K38" s="33" t="str">
        <x:v>推荐</x:v>
      </x:c>
      <x:c r="L38" s="33" t="str">
        <x:v>以少油少盐及合适熟度为前提；围手术期免疫低下或食品卫生风险高时避免生食，特殊肾病管理另行评估。</x:v>
      </x:c>
      <x:c r="M38" s="41" t="str">
        <x:v>待审核</x:v>
      </x:c>
    </x:row>
    <x:row r="39">
      <x:c r="A39" s="30" t="str">
        <x:v>V009</x:v>
      </x:c>
      <x:c r="B39" s="30" t="str">
        <x:v>冬瓜香菇</x:v>
      </x:c>
      <x:c r="C39" s="30" t="str">
        <x:v>vegetable</x:v>
      </x:c>
      <x:c r="D39" s="30" t="str">
        <x:v>unknown</x:v>
      </x:c>
      <x:c r="E39" s="30" t="str">
        <x:v>无特殊。</x:v>
      </x:c>
      <x:c r="F39" s="37" t="str">
        <x:v>可跳过</x:v>
      </x:c>
      <x:c r="G39" s="33" t="str">
        <x:v>推荐</x:v>
      </x:c>
      <x:c r="H39" s="33" t="str">
        <x:v>推荐</x:v>
      </x:c>
      <x:c r="I39" s="33" t="str">
        <x:v>可用</x:v>
      </x:c>
      <x:c r="J39" s="33" t="str">
        <x:v>推荐</x:v>
      </x:c>
      <x:c r="K39" s="33" t="str">
        <x:v>推荐</x:v>
      </x:c>
      <x:c r="L39" s="33" t="str">
        <x:v>以少油少盐及合适熟度为前提；围手术期免疫低下或食品卫生风险高时避免生食，特殊肾病管理另行评估。</x:v>
      </x:c>
      <x:c r="M39" s="41" t="str">
        <x:v>待审核</x:v>
      </x:c>
    </x:row>
    <x:row r="40">
      <x:c r="A40" s="30" t="str">
        <x:v>V010</x:v>
      </x:c>
      <x:c r="B40" s="30" t="str">
        <x:v>少油烧茄子</x:v>
      </x:c>
      <x:c r="C40" s="30" t="str">
        <x:v>vegetable</x:v>
      </x:c>
      <x:c r="D40" s="30" t="str">
        <x:v>unknown</x:v>
      </x:c>
      <x:c r="E40" s="30" t="str">
        <x:v>传统油炸烧茄子不作为默认。</x:v>
      </x:c>
      <x:c r="F40" s="37" t="str">
        <x:v>可跳过</x:v>
      </x:c>
      <x:c r="G40" s="33" t="str">
        <x:v>推荐</x:v>
      </x:c>
      <x:c r="H40" s="33" t="str">
        <x:v>推荐</x:v>
      </x:c>
      <x:c r="I40" s="33" t="str">
        <x:v>可用</x:v>
      </x:c>
      <x:c r="J40" s="33" t="str">
        <x:v>推荐</x:v>
      </x:c>
      <x:c r="K40" s="33" t="str">
        <x:v>推荐</x:v>
      </x:c>
      <x:c r="L40" s="33" t="str">
        <x:v>以少油少盐及合适熟度为前提；围手术期免疫低下或食品卫生风险高时避免生食，特殊肾病管理另行评估。</x:v>
      </x:c>
      <x:c r="M40" s="41" t="str">
        <x:v>待审核</x:v>
      </x:c>
    </x:row>
    <x:row r="41">
      <x:c r="A41" s="30" t="str">
        <x:v>V011</x:v>
      </x:c>
      <x:c r="B41" s="30" t="str">
        <x:v>生菜番茄沙拉（中式清拌）</x:v>
      </x:c>
      <x:c r="C41" s="30" t="str">
        <x:v>vegetable</x:v>
      </x:c>
      <x:c r="D41" s="30" t="str">
        <x:v>unknown</x:v>
      </x:c>
      <x:c r="E41" s="30" t="str">
        <x:v>围手术期免疫低下或食品卫生风险高时改熟食。</x:v>
      </x:c>
      <x:c r="F41" s="37" t="str">
        <x:v>可跳过</x:v>
      </x:c>
      <x:c r="G41" s="33" t="str">
        <x:v>推荐</x:v>
      </x:c>
      <x:c r="H41" s="33" t="str">
        <x:v>推荐</x:v>
      </x:c>
      <x:c r="I41" s="33" t="str">
        <x:v>可用</x:v>
      </x:c>
      <x:c r="J41" s="33" t="str">
        <x:v>推荐</x:v>
      </x:c>
      <x:c r="K41" s="33" t="str">
        <x:v>推荐</x:v>
      </x:c>
      <x:c r="L41" s="33" t="str">
        <x:v>以少油少盐及合适熟度为前提；围手术期免疫低下或食品卫生风险高时避免生食，特殊肾病管理另行评估。</x:v>
      </x:c>
      <x:c r="M41" s="41" t="str">
        <x:v>待审核</x:v>
      </x:c>
    </x:row>
    <x:row r="42">
      <x:c r="A42" s="30" t="str">
        <x:v>V012</x:v>
      </x:c>
      <x:c r="B42" s="30" t="str">
        <x:v>西兰花胡萝卜双蔬</x:v>
      </x:c>
      <x:c r="C42" s="30" t="str">
        <x:v>vegetable</x:v>
      </x:c>
      <x:c r="D42" s="30" t="str">
        <x:v>unknown</x:v>
      </x:c>
      <x:c r="E42" s="30" t="str">
        <x:v>无特殊。</x:v>
      </x:c>
      <x:c r="F42" s="37" t="str">
        <x:v>可跳过</x:v>
      </x:c>
      <x:c r="G42" s="33" t="str">
        <x:v>推荐</x:v>
      </x:c>
      <x:c r="H42" s="33" t="str">
        <x:v>推荐</x:v>
      </x:c>
      <x:c r="I42" s="33" t="str">
        <x:v>可用</x:v>
      </x:c>
      <x:c r="J42" s="33" t="str">
        <x:v>推荐</x:v>
      </x:c>
      <x:c r="K42" s="33" t="str">
        <x:v>推荐</x:v>
      </x:c>
      <x:c r="L42" s="33" t="str">
        <x:v>以少油少盐及合适熟度为前提；围手术期免疫低下或食品卫生风险高时避免生食，特殊肾病管理另行评估。</x:v>
      </x:c>
      <x:c r="M42" s="41" t="str">
        <x:v>待审核</x:v>
      </x:c>
    </x:row>
    <x:row r="43">
      <x:c r="A43" s="30" t="str">
        <x:v>S001</x:v>
      </x:c>
      <x:c r="B43" s="30" t="str">
        <x:v>低脂奶+苹果</x:v>
      </x:c>
      <x:c r="C43" s="30" t="str">
        <x:v>snack</x:v>
      </x:c>
      <x:c r="D43" s="30" t="str">
        <x:v>mixed_snack</x:v>
      </x:c>
      <x:c r="E43" s="30" t="str">
        <x:v>乳糖不耐受者换无乳糖奶/豆浆。</x:v>
      </x:c>
      <x:c r="F43" s="37" t="str">
        <x:v>建议复核</x:v>
      </x:c>
      <x:c r="G43" s="33" t="str">
        <x:v>条件可用</x:v>
      </x:c>
      <x:c r="H43" s="33" t="str">
        <x:v>可用</x:v>
      </x:c>
      <x:c r="I43" s="33" t="str">
        <x:v>可用</x:v>
      </x:c>
      <x:c r="J43" s="33" t="str">
        <x:v>可用</x:v>
      </x:c>
      <x:c r="K43" s="33" t="str">
        <x:v>条件可用</x:v>
      </x:c>
      <x:c r="L43" s="33" t="str">
        <x:v>计入全天总能量与碳水；乳品/豆浆以实际产品标签为准，水果、玉米、坚果和鸡蛋按执行克重或整枚计量。</x:v>
      </x:c>
      <x:c r="M43" s="41" t="str">
        <x:v>待审核</x:v>
      </x:c>
    </x:row>
    <x:row r="44">
      <x:c r="A44" s="30" t="str">
        <x:v>S002</x:v>
      </x:c>
      <x:c r="B44" s="30" t="str">
        <x:v>无糖酸奶+草莓</x:v>
      </x:c>
      <x:c r="C44" s="30" t="str">
        <x:v>snack</x:v>
      </x:c>
      <x:c r="D44" s="30" t="str">
        <x:v>mixed_snack</x:v>
      </x:c>
      <x:c r="E44" s="30" t="str">
        <x:v>乳糖不耐受按耐受调整。</x:v>
      </x:c>
      <x:c r="F44" s="37" t="str">
        <x:v>建议复核</x:v>
      </x:c>
      <x:c r="G44" s="33" t="str">
        <x:v>条件可用</x:v>
      </x:c>
      <x:c r="H44" s="33" t="str">
        <x:v>可用</x:v>
      </x:c>
      <x:c r="I44" s="33" t="str">
        <x:v>可用</x:v>
      </x:c>
      <x:c r="J44" s="33" t="str">
        <x:v>可用</x:v>
      </x:c>
      <x:c r="K44" s="33" t="str">
        <x:v>条件可用</x:v>
      </x:c>
      <x:c r="L44" s="33" t="str">
        <x:v>计入全天总能量与碳水；乳品/豆浆以实际产品标签为准，水果、玉米、坚果和鸡蛋按执行克重或整枚计量。</x:v>
      </x:c>
      <x:c r="M44" s="41" t="str">
        <x:v>待审核</x:v>
      </x:c>
    </x:row>
    <x:row r="45">
      <x:c r="A45" s="30" t="str">
        <x:v>S003</x:v>
      </x:c>
      <x:c r="B45" s="30" t="str">
        <x:v>无糖豆浆+梨</x:v>
      </x:c>
      <x:c r="C45" s="30" t="str">
        <x:v>snack</x:v>
      </x:c>
      <x:c r="D45" s="30" t="str">
        <x:v>mixed_snack</x:v>
      </x:c>
      <x:c r="E45" s="30" t="str">
        <x:v>大豆过敏禁用。</x:v>
      </x:c>
      <x:c r="F45" s="37" t="str">
        <x:v>可跳过</x:v>
      </x:c>
      <x:c r="G45" s="33" t="str">
        <x:v>条件可用</x:v>
      </x:c>
      <x:c r="H45" s="33" t="str">
        <x:v>可用</x:v>
      </x:c>
      <x:c r="I45" s="33" t="str">
        <x:v>可用</x:v>
      </x:c>
      <x:c r="J45" s="33" t="str">
        <x:v>可用</x:v>
      </x:c>
      <x:c r="K45" s="33" t="str">
        <x:v>条件可用</x:v>
      </x:c>
      <x:c r="L45" s="33" t="str">
        <x:v>计入全天总能量与碳水；乳品/豆浆以实际产品标签为准，水果、玉米、坚果和鸡蛋按执行克重或整枚计量。</x:v>
      </x:c>
      <x:c r="M45" s="41" t="str">
        <x:v>待审核</x:v>
      </x:c>
    </x:row>
    <x:row r="46">
      <x:c r="A46" s="30" t="str">
        <x:v>S004</x:v>
      </x:c>
      <x:c r="B46" s="30" t="str">
        <x:v>低脂奶+小香蕉</x:v>
      </x:c>
      <x:c r="C46" s="30" t="str">
        <x:v>snack</x:v>
      </x:c>
      <x:c r="D46" s="30" t="str">
        <x:v>mixed_snack</x:v>
      </x:c>
      <x:c r="E46" s="30" t="str">
        <x:v>糖代谢异常者按总碳水计划计入。</x:v>
      </x:c>
      <x:c r="F46" s="37" t="str">
        <x:v>建议复核</x:v>
      </x:c>
      <x:c r="G46" s="33" t="str">
        <x:v>条件可用</x:v>
      </x:c>
      <x:c r="H46" s="33" t="str">
        <x:v>可用</x:v>
      </x:c>
      <x:c r="I46" s="33" t="str">
        <x:v>可用</x:v>
      </x:c>
      <x:c r="J46" s="33" t="str">
        <x:v>可用</x:v>
      </x:c>
      <x:c r="K46" s="33" t="str">
        <x:v>条件可用</x:v>
      </x:c>
      <x:c r="L46" s="33" t="str">
        <x:v>计入全天总能量与碳水；乳品/豆浆以实际产品标签为准，水果、玉米、坚果和鸡蛋按执行克重或整枚计量。</x:v>
      </x:c>
      <x:c r="M46" s="41" t="str">
        <x:v>待审核</x:v>
      </x:c>
    </x:row>
    <x:row r="47">
      <x:c r="A47" s="30" t="str">
        <x:v>S005</x:v>
      </x:c>
      <x:c r="B47" s="30" t="str">
        <x:v>无糖酸奶+核桃</x:v>
      </x:c>
      <x:c r="C47" s="30" t="str">
        <x:v>snack</x:v>
      </x:c>
      <x:c r="D47" s="30" t="str">
        <x:v>mixed_snack</x:v>
      </x:c>
      <x:c r="E47" s="30" t="str">
        <x:v>坚果过敏禁用；能量密度高，不随意加量。</x:v>
      </x:c>
      <x:c r="F47" s="37" t="str">
        <x:v>可跳过</x:v>
      </x:c>
      <x:c r="G47" s="33" t="str">
        <x:v>条件可用</x:v>
      </x:c>
      <x:c r="H47" s="33" t="str">
        <x:v>可用</x:v>
      </x:c>
      <x:c r="I47" s="33" t="str">
        <x:v>可用</x:v>
      </x:c>
      <x:c r="J47" s="33" t="str">
        <x:v>可用</x:v>
      </x:c>
      <x:c r="K47" s="33" t="str">
        <x:v>条件可用</x:v>
      </x:c>
      <x:c r="L47" s="33" t="str">
        <x:v>计入全天总能量与碳水；乳品/豆浆以实际产品标签为准，水果、玉米、坚果和鸡蛋按执行克重或整枚计量。</x:v>
      </x:c>
      <x:c r="M47" s="41" t="str">
        <x:v>待审核</x:v>
      </x:c>
    </x:row>
    <x:row r="48">
      <x:c r="A48" s="30" t="str">
        <x:v>S006</x:v>
      </x:c>
      <x:c r="B48" s="30" t="str">
        <x:v>低脂奶+橙</x:v>
      </x:c>
      <x:c r="C48" s="30" t="str">
        <x:v>snack</x:v>
      </x:c>
      <x:c r="D48" s="30" t="str">
        <x:v>mixed_snack</x:v>
      </x:c>
      <x:c r="E48" s="30" t="str">
        <x:v>乳糖不耐受者换豆浆。</x:v>
      </x:c>
      <x:c r="F48" s="37" t="str">
        <x:v>建议复核</x:v>
      </x:c>
      <x:c r="G48" s="33" t="str">
        <x:v>条件可用</x:v>
      </x:c>
      <x:c r="H48" s="33" t="str">
        <x:v>可用</x:v>
      </x:c>
      <x:c r="I48" s="33" t="str">
        <x:v>可用</x:v>
      </x:c>
      <x:c r="J48" s="33" t="str">
        <x:v>可用</x:v>
      </x:c>
      <x:c r="K48" s="33" t="str">
        <x:v>条件可用</x:v>
      </x:c>
      <x:c r="L48" s="33" t="str">
        <x:v>计入全天总能量与碳水；乳品/豆浆以实际产品标签为准，水果、玉米、坚果和鸡蛋按执行克重或整枚计量。</x:v>
      </x:c>
      <x:c r="M48" s="41" t="str">
        <x:v>待审核</x:v>
      </x:c>
    </x:row>
    <x:row r="49">
      <x:c r="A49" s="30" t="str">
        <x:v>S007</x:v>
      </x:c>
      <x:c r="B49" s="30" t="str">
        <x:v>苹果+杏仁</x:v>
      </x:c>
      <x:c r="C49" s="30" t="str">
        <x:v>snack</x:v>
      </x:c>
      <x:c r="D49" s="30" t="str">
        <x:v>mixed_snack</x:v>
      </x:c>
      <x:c r="E49" s="30" t="str">
        <x:v>坚果过敏禁用；注意总脂肪。</x:v>
      </x:c>
      <x:c r="F49" s="37" t="str">
        <x:v>建议复核</x:v>
      </x:c>
      <x:c r="G49" s="33" t="str">
        <x:v>条件可用</x:v>
      </x:c>
      <x:c r="H49" s="33" t="str">
        <x:v>可用</x:v>
      </x:c>
      <x:c r="I49" s="33" t="str">
        <x:v>可用</x:v>
      </x:c>
      <x:c r="J49" s="33" t="str">
        <x:v>可用</x:v>
      </x:c>
      <x:c r="K49" s="33" t="str">
        <x:v>条件可用</x:v>
      </x:c>
      <x:c r="L49" s="33" t="str">
        <x:v>计入全天总能量与碳水；乳品/豆浆以实际产品标签为准，水果、玉米、坚果和鸡蛋按执行克重或整枚计量。</x:v>
      </x:c>
      <x:c r="M49" s="41" t="str">
        <x:v>待审核</x:v>
      </x:c>
    </x:row>
    <x:row r="50">
      <x:c r="A50" s="30" t="str">
        <x:v>S008</x:v>
      </x:c>
      <x:c r="B50" s="30" t="str">
        <x:v>鲜玉米+低脂奶</x:v>
      </x:c>
      <x:c r="C50" s="30" t="str">
        <x:v>snack</x:v>
      </x:c>
      <x:c r="D50" s="30" t="str">
        <x:v>dairy</x:v>
      </x:c>
      <x:c r="E50" s="30" t="str">
        <x:v>减重能量目标低时份量按总能量调整。</x:v>
      </x:c>
      <x:c r="F50" s="37" t="str">
        <x:v>可跳过</x:v>
      </x:c>
      <x:c r="G50" s="33" t="str">
        <x:v>条件可用</x:v>
      </x:c>
      <x:c r="H50" s="33" t="str">
        <x:v>可用</x:v>
      </x:c>
      <x:c r="I50" s="33" t="str">
        <x:v>可用</x:v>
      </x:c>
      <x:c r="J50" s="33" t="str">
        <x:v>可用</x:v>
      </x:c>
      <x:c r="K50" s="33" t="str">
        <x:v>条件可用</x:v>
      </x:c>
      <x:c r="L50" s="33" t="str">
        <x:v>计入全天总能量与碳水；乳品/豆浆以实际产品标签为准，水果、玉米、坚果和鸡蛋按执行克重或整枚计量。</x:v>
      </x:c>
      <x:c r="M50" s="41" t="str">
        <x:v>待审核</x:v>
      </x:c>
    </x:row>
    <x:row r="51">
      <x:c r="A51" s="30" t="str">
        <x:v>S009</x:v>
      </x:c>
      <x:c r="B51" s="30" t="str">
        <x:v>水煮蛋+小番茄</x:v>
      </x:c>
      <x:c r="C51" s="30" t="str">
        <x:v>snack</x:v>
      </x:c>
      <x:c r="D51" s="30" t="str">
        <x:v>protein_snack</x:v>
      </x:c>
      <x:c r="E51" s="30" t="str">
        <x:v>血脂异常者蛋类总量按整体计划。</x:v>
      </x:c>
      <x:c r="F51" s="37" t="str">
        <x:v>建议复核</x:v>
      </x:c>
      <x:c r="G51" s="33" t="str">
        <x:v>条件可用</x:v>
      </x:c>
      <x:c r="H51" s="33" t="str">
        <x:v>可用</x:v>
      </x:c>
      <x:c r="I51" s="33" t="str">
        <x:v>可用</x:v>
      </x:c>
      <x:c r="J51" s="33" t="str">
        <x:v>可用</x:v>
      </x:c>
      <x:c r="K51" s="33" t="str">
        <x:v>条件可用</x:v>
      </x:c>
      <x:c r="L51" s="33" t="str">
        <x:v>计入全天总能量与碳水；乳品/豆浆以实际产品标签为准，水果、玉米、坚果和鸡蛋按执行克重或整枚计量。</x:v>
      </x:c>
      <x:c r="M51" s="41" t="str">
        <x:v>待审核</x:v>
      </x:c>
    </x:row>
    <x:row r="52">
      <x:c r="A52" s="30" t="str">
        <x:v>S010</x:v>
      </x:c>
      <x:c r="B52" s="30" t="str">
        <x:v>猕猴桃+无糖酸奶</x:v>
      </x:c>
      <x:c r="C52" s="30" t="str">
        <x:v>snack</x:v>
      </x:c>
      <x:c r="D52" s="30" t="str">
        <x:v>mixed_snack</x:v>
      </x:c>
      <x:c r="E52" s="30" t="str">
        <x:v>乳糖不耐受按耐受调整。</x:v>
      </x:c>
      <x:c r="F52" s="37" t="str">
        <x:v>建议复核</x:v>
      </x:c>
      <x:c r="G52" s="33" t="str">
        <x:v>条件可用</x:v>
      </x:c>
      <x:c r="H52" s="33" t="str">
        <x:v>可用</x:v>
      </x:c>
      <x:c r="I52" s="33" t="str">
        <x:v>可用</x:v>
      </x:c>
      <x:c r="J52" s="33" t="str">
        <x:v>可用</x:v>
      </x:c>
      <x:c r="K52" s="33" t="str">
        <x:v>条件可用</x:v>
      </x:c>
      <x:c r="L52" s="33" t="str">
        <x:v>计入全天总能量与碳水；乳品/豆浆以实际产品标签为准，水果、玉米、坚果和鸡蛋按执行克重或整枚计量。</x:v>
      </x:c>
      <x:c r="M52" s="41" t="str">
        <x:v>待审核</x:v>
      </x:c>
    </x:row>
  </x:sheetData>
  <x:mergeCells>
    <x:mergeCell ref="A1:M1"/>
    <x:mergeCell ref="A2:M2"/>
  </x:mergeCells>
  <x:dataValidations count="2">
    <x:dataValidation type="list" sqref="G4:K52">
      <x:formula1>"推荐,可用,慎用,不推荐,不适用,待确认"</x:formula1>
    </x:dataValidation>
    <x:dataValidation type="list" sqref="M4:M52">
      <x:formula1>"待审核,已确认,需修改,停用"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14" max="14" width="2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>
      <x:c r="A1" s="24" t="str">
        <x:v>component_id</x:v>
      </x:c>
      <x:c r="B1" s="24" t="str">
        <x:v>component_name</x:v>
      </x:c>
      <x:c r="C1" s="24" t="str">
        <x:v>category</x:v>
      </x:c>
      <x:c r="D1" s="24" t="str">
        <x:v>subcategory</x:v>
      </x:c>
      <x:c r="E1" s="24" t="str">
        <x:v>ingredients</x:v>
      </x:c>
      <x:c r="F1" s="24" t="str">
        <x:v>ingredient_amounts</x:v>
      </x:c>
      <x:c r="G1" s="24" t="str">
        <x:v>source_basis_text</x:v>
      </x:c>
      <x:c r="H1" s="24" t="str">
        <x:v>base_portion</x:v>
      </x:c>
      <x:c r="I1" s="24" t="str">
        <x:v>energy_kcal</x:v>
      </x:c>
      <x:c r="J1" s="24" t="str">
        <x:v>protein_g</x:v>
      </x:c>
      <x:c r="K1" s="24" t="str">
        <x:v>carbohydrate_g</x:v>
      </x:c>
      <x:c r="L1" s="24" t="str">
        <x:v>fat_g</x:v>
      </x:c>
      <x:c r="M1" s="24" t="str">
        <x:v>portion_options</x:v>
      </x:c>
      <x:c r="N1" s="24" t="str">
        <x:v>source_document</x:v>
      </x:c>
      <x:c r="O1" s="24" t="str">
        <x:v>source_table</x:v>
      </x:c>
      <x:c r="P1" s="24" t="str">
        <x:v>phenotype_tags</x:v>
      </x:c>
      <x:c r="Q1" s="24" t="str">
        <x:v>goal_tags</x:v>
      </x:c>
      <x:c r="R1" s="24" t="str">
        <x:v>disease_tags</x:v>
      </x:c>
      <x:c r="S1" s="24" t="str">
        <x:v>liver_modifier_tags</x:v>
      </x:c>
      <x:c r="T1" s="24" t="str">
        <x:v>allergy_tags</x:v>
      </x:c>
      <x:c r="U1" s="24" t="str">
        <x:v>intolerance_tags</x:v>
      </x:c>
      <x:c r="V1" s="24" t="str">
        <x:v>contraindications</x:v>
      </x:c>
      <x:c r="W1" s="24" t="str">
        <x:v>replacement_ids</x:v>
      </x:c>
      <x:c r="X1" s="24" t="str">
        <x:v>use_tags</x:v>
      </x:c>
      <x:c r="Y1" s="24" t="str">
        <x:v>status</x:v>
      </x:c>
      <x:c r="Z1" s="24" t="str">
        <x:v>review_status</x:v>
      </x:c>
      <x:c r="AA1" s="24" t="str">
        <x:v>subcategory_MDT_confirm</x:v>
      </x:c>
      <x:c r="AB1" s="24" t="str">
        <x:v>meal_type</x:v>
      </x:c>
      <x:c r="AC1" s="24" t="str">
        <x:v>weight_basis_MDT</x:v>
      </x:c>
      <x:c r="AD1" s="24" t="str">
        <x:v>base_portion_MDT_confirm</x:v>
      </x:c>
      <x:c r="AE1" s="24" t="str">
        <x:v>base_portion_unit</x:v>
      </x:c>
      <x:c r="AF1" s="24" t="str">
        <x:v>portion_min</x:v>
      </x:c>
      <x:c r="AG1" s="24" t="str">
        <x:v>portion_max</x:v>
      </x:c>
      <x:c r="AH1" s="24" t="str">
        <x:v>portion_step</x:v>
      </x:c>
      <x:c r="AI1" s="24" t="str">
        <x:v>portion_adjustment_note</x:v>
      </x:c>
      <x:c r="AJ1" s="24" t="str">
        <x:v>nutrition_use</x:v>
      </x:c>
      <x:c r="AK1" s="24" t="str">
        <x:v>D_type_suitability</x:v>
      </x:c>
      <x:c r="AL1" s="24" t="str">
        <x:v>E_type_suitability</x:v>
      </x:c>
      <x:c r="AM1" s="24" t="str">
        <x:v>D_E_note</x:v>
      </x:c>
      <x:c r="AN1" s="24" t="str">
        <x:v>glucose_control</x:v>
      </x:c>
      <x:c r="AO1" s="24" t="str">
        <x:v>dyslipidemia</x:v>
      </x:c>
      <x:c r="AP1" s="24" t="str">
        <x:v>hyperuricemia</x:v>
      </x:c>
      <x:c r="AQ1" s="24" t="str">
        <x:v>hypertension</x:v>
      </x:c>
      <x:c r="AR1" s="24" t="str">
        <x:v>fatty_liver</x:v>
      </x:c>
      <x:c r="AS1" s="24" t="str">
        <x:v>disease_note</x:v>
      </x:c>
      <x:c r="AT1" s="24" t="str">
        <x:v>replacement_group</x:v>
      </x:c>
      <x:c r="AU1" s="24" t="str">
        <x:v>replacement_priority</x:v>
      </x:c>
      <x:c r="AV1" s="24" t="str">
        <x:v>replacement_note</x:v>
      </x:c>
      <x:c r="AW1" s="24" t="str">
        <x:v>MDT_review_status</x:v>
      </x:c>
      <x:c r="AX1" s="24" t="str">
        <x:v>MDT_review_comment</x:v>
      </x:c>
      <x:c r="AY1" s="24" t="str">
        <x:v>reviewer</x:v>
      </x:c>
      <x:c r="AZ1" s="24" t="str">
        <x:v>review_date</x:v>
      </x:c>
    </x:row>
    <x:row r="2">
      <x:c r="A2" s="30" t="str">
        <x:v>C001</x:v>
      </x:c>
      <x:c r="B2" s="30" t="str">
        <x:v>白米饭基础份</x:v>
      </x:c>
      <x:c r="C2" s="30" t="str">
        <x:v>staple</x:v>
      </x:c>
      <x:c r="D2" s="30" t="str">
        <x:v>refined_grain</x:v>
      </x:c>
      <x:c r="E2" s="30" t="str">
        <x:v>大米50g</x:v>
      </x:c>
      <x:c r="F2" s="30" t="str">
        <x:v>[{"ingredient_name":"大米","amount":50,"unit":"g","raw_or_cooked_basis":"unknown","source_basis_text":"大米50g"}]</x:v>
      </x:c>
      <x:c r="G2" s="30" t="str">
        <x:v>大米50g</x:v>
      </x:c>
      <x:c r="H2" s="30" t="str">
        <x:v>[{"ingredient_name":"大米","amount":50,"unit":"g","raw_or_cooked_basis":"unknown","source_basis_text":"大米50g"}]</x:v>
      </x:c>
      <x:c r="I2" s="30" t="n">
        <x:v>173</x:v>
      </x:c>
      <x:c r="J2" s="30" t="n">
        <x:v>3.7</x:v>
      </x:c>
      <x:c r="K2" s="30" t="n">
        <x:v>39</x:v>
      </x:c>
      <x:c r="L2" s="30" t="n">
        <x:v>0.4</x:v>
      </x:c>
      <x:c r="M2" s="30" t="str">
        <x:v>[0.5,0.75,1,1.25,1.5]</x:v>
      </x:c>
      <x:c r="N2" s="30" t="str">
        <x:v>肺结节患者术前菜品与食谱组件库_V2.0_完整版_MDT审阅_AI调用版.docx</x:v>
      </x:c>
      <x:c r="O2" s="30" t="n">
        <x:v>8</x:v>
      </x:c>
      <x:c r="P2" s="30"/>
      <x:c r="Q2" s="30"/>
      <x:c r="R2" s="30"/>
      <x:c r="S2" s="30"/>
      <x:c r="T2" s="30"/>
      <x:c r="U2" s="30"/>
      <x:c r="V2" s="30" t="str">
        <x:v>糖代谢异常者优先与全谷/杂豆搭配，不建议单独大量使用。</x:v>
      </x:c>
      <x:c r="W2" s="30" t="str">
        <x:v>可替换为C002/C003/C005。</x:v>
      </x:c>
      <x:c r="X2" s="30" t="str">
        <x:v>["regular_meal"]</x:v>
      </x:c>
      <x:c r="Y2" s="30" t="str">
        <x:v>DRAFT</x:v>
      </x:c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  <x:c r="AR2" s="30"/>
      <x:c r="AS2" s="30"/>
      <x:c r="AT2" s="30"/>
      <x:c r="AU2" s="30"/>
      <x:c r="AV2" s="30"/>
      <x:c r="AW2" s="30"/>
      <x:c r="AX2" s="30"/>
      <x:c r="AY2" s="30"/>
      <x:c r="AZ2" s="30"/>
    </x:row>
    <x:row r="3">
      <x:c r="A3" s="30" t="str">
        <x:v>C002</x:v>
      </x:c>
      <x:c r="B3" s="30" t="str">
        <x:v>糙米饭基础份</x:v>
      </x:c>
      <x:c r="C3" s="30" t="str">
        <x:v>staple</x:v>
      </x:c>
      <x:c r="D3" s="30" t="str">
        <x:v>whole_grain</x:v>
      </x:c>
      <x:c r="E3" s="30" t="str">
        <x:v>糙米50g</x:v>
      </x:c>
      <x:c r="F3" s="30" t="str">
        <x:v>[{"ingredient_name":"糙米","amount":50,"unit":"g","raw_or_cooked_basis":"unknown","source_basis_text":"糙米50g"}]</x:v>
      </x:c>
      <x:c r="G3" s="30" t="str">
        <x:v>糙米50g</x:v>
      </x:c>
      <x:c r="H3" s="30" t="str">
        <x:v>[{"ingredient_name":"糙米","amount":50,"unit":"g","raw_or_cooked_basis":"unknown","source_basis_text":"糙米50g"}]</x:v>
      </x:c>
      <x:c r="I3" s="30" t="n">
        <x:v>174</x:v>
      </x:c>
      <x:c r="J3" s="30" t="n">
        <x:v>3.9</x:v>
      </x:c>
      <x:c r="K3" s="30" t="n">
        <x:v>37.5</x:v>
      </x:c>
      <x:c r="L3" s="30" t="n">
        <x:v>1.4</x:v>
      </x:c>
      <x:c r="M3" s="30" t="str">
        <x:v>[0.5,0.75,1,1.25,1.5]</x:v>
      </x:c>
      <x:c r="N3" s="30" t="str">
        <x:v>肺结节患者术前菜品与食谱组件库_V2.0_完整版_MDT审阅_AI调用版.docx</x:v>
      </x:c>
      <x:c r="O3" s="30" t="n">
        <x:v>8</x:v>
      </x:c>
      <x:c r="P3" s="30"/>
      <x:c r="Q3" s="30"/>
      <x:c r="R3" s="30"/>
      <x:c r="S3" s="30"/>
      <x:c r="T3" s="30"/>
      <x:c r="U3" s="30"/>
      <x:c r="V3" s="30" t="str">
        <x:v>胃肠耐受差或术前极短窗口可降低粗杂粮比例。</x:v>
      </x:c>
      <x:c r="W3" s="30" t="str">
        <x:v>可与白米1:1混合。</x:v>
      </x:c>
      <x:c r="X3" s="30" t="str">
        <x:v>["regular_meal"]</x:v>
      </x:c>
      <x:c r="Y3" s="30" t="str">
        <x:v>DRAFT</x:v>
      </x:c>
      <x:c r="Z3" s="30"/>
      <x:c r="AA3" s="30"/>
      <x:c r="AB3" s="30"/>
      <x:c r="AC3" s="30"/>
      <x:c r="AD3" s="30"/>
      <x:c r="AE3" s="30"/>
      <x:c r="AF3" s="30"/>
      <x:c r="AG3" s="30"/>
      <x:c r="AH3" s="30"/>
      <x:c r="AI3" s="30"/>
      <x:c r="AJ3" s="30"/>
      <x:c r="AK3" s="30"/>
      <x:c r="AL3" s="30"/>
      <x:c r="AM3" s="30"/>
      <x:c r="AN3" s="30"/>
      <x:c r="AO3" s="30"/>
      <x:c r="AP3" s="30"/>
      <x:c r="AQ3" s="30"/>
      <x:c r="AR3" s="30"/>
      <x:c r="AS3" s="30"/>
      <x:c r="AT3" s="30"/>
      <x:c r="AU3" s="30"/>
      <x:c r="AV3" s="30"/>
      <x:c r="AW3" s="30"/>
      <x:c r="AX3" s="30"/>
      <x:c r="AY3" s="30"/>
      <x:c r="AZ3" s="30"/>
    </x:row>
    <x:row r="4">
      <x:c r="A4" s="30" t="str">
        <x:v>C003</x:v>
      </x:c>
      <x:c r="B4" s="30" t="str">
        <x:v>杂粮饭基础份</x:v>
      </x:c>
      <x:c r="C4" s="30" t="str">
        <x:v>staple</x:v>
      </x:c>
      <x:c r="D4" s="30" t="str">
        <x:v>whole_grain</x:v>
      </x:c>
      <x:c r="E4" s="30" t="str">
        <x:v>大米35g；糙米15g；赤小豆干10g</x:v>
      </x:c>
      <x:c r="F4" s="30" t="str">
        <x: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x:v>
      </x:c>
      <x:c r="G4" s="30" t="str">
        <x:v>大米35g；糙米15g；赤小豆干10g</x:v>
      </x:c>
      <x:c r="H4" s="30" t="str">
        <x:v>[{"ingredient_name":"大米","amount":35,"unit":"g","raw_or_cooked_basis":"unknown","source_basis_text":"大米35g"},{"ingredient_name":"糙米","amount":15,"unit":"g","raw_or_cooked_basis":"unknown","source_basis_text":"糙米15g"},{"ingredient_name":"赤小豆干","amount":10,"unit":"g","raw_or_cooked_basis":"unknown","source_basis_text":"赤小豆干10g"}]</x:v>
      </x:c>
      <x:c r="I4" s="30" t="n">
        <x:v>206</x:v>
      </x:c>
      <x:c r="J4" s="30" t="n">
        <x:v>5.8</x:v>
      </x:c>
      <x:c r="K4" s="30" t="n">
        <x:v>44.9</x:v>
      </x:c>
      <x:c r="L4" s="30" t="n">
        <x:v>0.7</x:v>
      </x:c>
      <x:c r="M4" s="30" t="str">
        <x:v>[0.5,0.75,1,1.25,1.5]</x:v>
      </x:c>
      <x:c r="N4" s="30" t="str">
        <x:v>肺结节患者术前菜品与食谱组件库_V2.0_完整版_MDT审阅_AI调用版.docx</x:v>
      </x:c>
      <x:c r="O4" s="30" t="n">
        <x:v>8</x:v>
      </x:c>
      <x:c r="P4" s="30"/>
      <x:c r="Q4" s="30"/>
      <x:c r="R4" s="30"/>
      <x:c r="S4" s="30"/>
      <x:c r="T4" s="30"/>
      <x:c r="U4" s="30"/>
      <x:c r="V4" s="30" t="str">
        <x:v>痛风急性发作/胃肠不适时具体杂豆量按医护意见调整。</x:v>
      </x:c>
      <x:c r="W4" s="30" t="str">
        <x:v>赤小豆可换绿豆/芸豆等同类。</x:v>
      </x:c>
      <x:c r="X4" s="30" t="str">
        <x:v>["regular_meal"]</x:v>
      </x:c>
      <x:c r="Y4" s="30" t="str">
        <x:v>DRAFT</x:v>
      </x:c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  <x:c r="AU4" s="30"/>
      <x:c r="AV4" s="30"/>
      <x:c r="AW4" s="30"/>
      <x:c r="AX4" s="30"/>
      <x:c r="AY4" s="30"/>
      <x:c r="AZ4" s="30"/>
    </x:row>
    <x:row r="5">
      <x:c r="A5" s="30" t="str">
        <x:v>C004</x:v>
      </x:c>
      <x:c r="B5" s="30" t="str">
        <x:v>燕麦早餐份</x:v>
      </x:c>
      <x:c r="C5" s="30" t="str">
        <x:v>staple</x:v>
      </x:c>
      <x:c r="D5" s="30" t="str">
        <x:v>whole_grain</x:v>
      </x:c>
      <x:c r="E5" s="30" t="str">
        <x:v>燕麦片40g</x:v>
      </x:c>
      <x:c r="F5" s="30" t="str">
        <x:v>[{"ingredient_name":"燕麦片","amount":40,"unit":"g","raw_or_cooked_basis":"unknown","source_basis_text":"燕麦片40g"}]</x:v>
      </x:c>
      <x:c r="G5" s="30" t="str">
        <x:v>燕麦片40g</x:v>
      </x:c>
      <x:c r="H5" s="30" t="str">
        <x:v>[{"ingredient_name":"燕麦片","amount":40,"unit":"g","raw_or_cooked_basis":"unknown","source_basis_text":"燕麦片40g"}]</x:v>
      </x:c>
      <x:c r="I5" s="30" t="n">
        <x:v>151</x:v>
      </x:c>
      <x:c r="J5" s="30" t="n">
        <x:v>6</x:v>
      </x:c>
      <x:c r="K5" s="30" t="n">
        <x:v>26.4</x:v>
      </x:c>
      <x:c r="L5" s="30" t="n">
        <x:v>2.7</x:v>
      </x:c>
      <x:c r="M5" s="30" t="str">
        <x:v>[0.5,0.75,1,1.25,1.5]</x:v>
      </x:c>
      <x:c r="N5" s="30" t="str">
        <x:v>肺结节患者术前菜品与食谱组件库_V2.0_完整版_MDT审阅_AI调用版.docx</x:v>
      </x:c>
      <x:c r="O5" s="30" t="n">
        <x:v>8</x:v>
      </x:c>
      <x:c r="P5" s="30"/>
      <x:c r="Q5" s="30"/>
      <x:c r="R5" s="30"/>
      <x:c r="S5" s="30"/>
      <x:c r="T5" s="30"/>
      <x:c r="U5" s="30"/>
      <x:c r="V5" s="30" t="str">
        <x:v>吞咽或胃肠耐受差时调整稠度。</x:v>
      </x:c>
      <x:c r="W5" s="30" t="str">
        <x:v>可换小米/杂粮粥。</x:v>
      </x:c>
      <x:c r="X5" s="30" t="str">
        <x:v>["regular_meal"]</x:v>
      </x:c>
      <x:c r="Y5" s="30" t="str">
        <x:v>DRAFT</x:v>
      </x:c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  <x:c r="AU5" s="30"/>
      <x:c r="AV5" s="30"/>
      <x:c r="AW5" s="30"/>
      <x:c r="AX5" s="30"/>
      <x:c r="AY5" s="30"/>
      <x:c r="AZ5" s="30"/>
    </x:row>
    <x:row r="6">
      <x:c r="A6" s="30" t="str">
        <x:v>C005</x:v>
      </x:c>
      <x:c r="B6" s="30" t="str">
        <x:v>全麦馒头基础份</x:v>
      </x:c>
      <x:c r="C6" s="30" t="str">
        <x:v>staple</x:v>
      </x:c>
      <x:c r="D6" s="30" t="str">
        <x:v>whole_grain</x:v>
      </x:c>
      <x:c r="E6" s="30" t="str">
        <x:v>全麦面粉60g</x:v>
      </x:c>
      <x:c r="F6" s="30" t="str">
        <x:v>[{"ingredient_name":"全麦面粉","amount":60,"unit":"g","raw_or_cooked_basis":"unknown","source_basis_text":"全麦面粉60g"}]</x:v>
      </x:c>
      <x:c r="G6" s="30" t="str">
        <x:v>全麦面粉60g</x:v>
      </x:c>
      <x:c r="H6" s="30" t="str">
        <x:v>[{"ingredient_name":"全麦面粉","amount":60,"unit":"g","raw_or_cooked_basis":"unknown","source_basis_text":"全麦面粉60g"}]</x:v>
      </x:c>
      <x:c r="I6" s="30" t="n">
        <x:v>203</x:v>
      </x:c>
      <x:c r="J6" s="30" t="n">
        <x:v>7.2</x:v>
      </x:c>
      <x:c r="K6" s="30" t="n">
        <x:v>41.4</x:v>
      </x:c>
      <x:c r="L6" s="30" t="n">
        <x:v>1.5</x:v>
      </x:c>
      <x:c r="M6" s="30" t="str">
        <x:v>[0.5,0.75,1,1.25,1.5]</x:v>
      </x:c>
      <x:c r="N6" s="30" t="str">
        <x:v>肺结节患者术前菜品与食谱组件库_V2.0_完整版_MDT审阅_AI调用版.docx</x:v>
      </x:c>
      <x:c r="O6" s="30" t="n">
        <x:v>8</x:v>
      </x:c>
      <x:c r="P6" s="30"/>
      <x:c r="Q6" s="30"/>
      <x:c r="R6" s="30"/>
      <x:c r="S6" s="30"/>
      <x:c r="T6" s="30"/>
      <x:c r="U6" s="30"/>
      <x:c r="V6" s="30" t="str">
        <x:v>购买成品需关注钠和添加糖。</x:v>
      </x:c>
      <x:c r="W6" s="30" t="str">
        <x:v>可换全麦面包C011。</x:v>
      </x:c>
      <x:c r="X6" s="30" t="str">
        <x:v>["regular_meal"]</x:v>
      </x:c>
      <x:c r="Y6" s="30" t="str">
        <x:v>DRAFT</x:v>
      </x:c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  <x:c r="AU6" s="30"/>
      <x:c r="AV6" s="30"/>
      <x:c r="AW6" s="30"/>
      <x:c r="AX6" s="30"/>
      <x:c r="AY6" s="30"/>
      <x:c r="AZ6" s="30"/>
    </x:row>
    <x:row r="7">
      <x:c r="A7" s="30" t="str">
        <x:v>C006</x:v>
      </x:c>
      <x:c r="B7" s="30" t="str">
        <x:v>鲜玉米基础份</x:v>
      </x:c>
      <x:c r="C7" s="30" t="str">
        <x:v>staple</x:v>
      </x:c>
      <x:c r="D7" s="30" t="str">
        <x:v>unknown</x:v>
      </x:c>
      <x:c r="E7" s="30" t="str">
        <x:v>玉米鲜150g</x:v>
      </x:c>
      <x:c r="F7" s="30" t="str">
        <x:v>[{"ingredient_name":"玉米鲜","amount":150,"unit":"g","raw_or_cooked_basis":"unknown","source_basis_text":"玉米鲜150g"}]</x:v>
      </x:c>
      <x:c r="G7" s="30" t="str">
        <x:v>玉米鲜150g</x:v>
      </x:c>
      <x:c r="H7" s="30" t="str">
        <x:v>[{"ingredient_name":"玉米鲜","amount":150,"unit":"g","raw_or_cooked_basis":"unknown","source_basis_text":"玉米鲜150g"}]</x:v>
      </x:c>
      <x:c r="I7" s="30" t="n">
        <x:v>168</x:v>
      </x:c>
      <x:c r="J7" s="30" t="n">
        <x:v>6</x:v>
      </x:c>
      <x:c r="K7" s="30" t="n">
        <x:v>34.2</x:v>
      </x:c>
      <x:c r="L7" s="30" t="n">
        <x:v>1.8</x:v>
      </x:c>
      <x:c r="M7" s="30" t="str">
        <x:v>[0.5,0.75,1,1.25,1.5]</x:v>
      </x:c>
      <x:c r="N7" s="30" t="str">
        <x:v>肺结节患者术前菜品与食谱组件库_V2.0_完整版_MDT审阅_AI调用版.docx</x:v>
      </x:c>
      <x:c r="O7" s="30" t="n">
        <x:v>8</x:v>
      </x:c>
      <x:c r="P7" s="30"/>
      <x:c r="Q7" s="30"/>
      <x:c r="R7" s="30"/>
      <x:c r="S7" s="30"/>
      <x:c r="T7" s="30"/>
      <x:c r="U7" s="30"/>
      <x:c r="V7" s="30" t="str">
        <x:v>消化不良者可减少份量。</x:v>
      </x:c>
      <x:c r="W7" s="30" t="str">
        <x:v>可换红薯C007。</x:v>
      </x:c>
      <x:c r="X7" s="30" t="str">
        <x:v>["regular_meal"]</x:v>
      </x:c>
      <x:c r="Y7" s="30" t="str">
        <x:v>DRAFT</x:v>
      </x:c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  <x:c r="AU7" s="30"/>
      <x:c r="AV7" s="30"/>
      <x:c r="AW7" s="30"/>
      <x:c r="AX7" s="30"/>
      <x:c r="AY7" s="30"/>
      <x:c r="AZ7" s="30"/>
    </x:row>
    <x:row r="8">
      <x:c r="A8" s="30" t="str">
        <x:v>C007</x:v>
      </x:c>
      <x:c r="B8" s="30" t="str">
        <x:v>蒸红薯基础份</x:v>
      </x:c>
      <x:c r="C8" s="30" t="str">
        <x:v>staple</x:v>
      </x:c>
      <x:c r="D8" s="30" t="str">
        <x:v>tuber</x:v>
      </x:c>
      <x:c r="E8" s="30" t="str">
        <x:v>红薯150g</x:v>
      </x:c>
      <x:c r="F8" s="30" t="str">
        <x:v>[{"ingredient_name":"红薯","amount":150,"unit":"g","raw_or_cooked_basis":"unknown","source_basis_text":"红薯150g"}]</x:v>
      </x:c>
      <x:c r="G8" s="30" t="str">
        <x:v>红薯150g</x:v>
      </x:c>
      <x:c r="H8" s="30" t="str">
        <x:v>[{"ingredient_name":"红薯","amount":150,"unit":"g","raw_or_cooked_basis":"unknown","source_basis_text":"红薯150g"}]</x:v>
      </x:c>
      <x:c r="I8" s="30" t="n">
        <x:v>129</x:v>
      </x:c>
      <x:c r="J8" s="30" t="n">
        <x:v>2.4</x:v>
      </x:c>
      <x:c r="K8" s="30" t="n">
        <x:v>30.2</x:v>
      </x:c>
      <x:c r="L8" s="30" t="n">
        <x:v>0.2</x:v>
      </x:c>
      <x:c r="M8" s="30" t="str">
        <x:v>[0.5,0.75,1,1.25,1.5]</x:v>
      </x:c>
      <x:c r="N8" s="30" t="str">
        <x:v>肺结节患者术前菜品与食谱组件库_V2.0_完整版_MDT审阅_AI调用版.docx</x:v>
      </x:c>
      <x:c r="O8" s="30" t="n">
        <x:v>8</x:v>
      </x:c>
      <x:c r="P8" s="30"/>
      <x:c r="Q8" s="30"/>
      <x:c r="R8" s="30"/>
      <x:c r="S8" s="30"/>
      <x:c r="T8" s="30"/>
      <x:c r="U8" s="30"/>
      <x:c r="V8" s="30" t="str">
        <x:v>糖代谢异常者仍需计入主食总量。</x:v>
      </x:c>
      <x:c r="W8" s="30" t="str">
        <x:v>可换玉米/山药。</x:v>
      </x:c>
      <x:c r="X8" s="30" t="str">
        <x:v>["regular_meal"]</x:v>
      </x:c>
      <x:c r="Y8" s="30" t="str">
        <x:v>DRAFT</x:v>
      </x:c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  <x:c r="AU8" s="30"/>
      <x:c r="AV8" s="30"/>
      <x:c r="AW8" s="30"/>
      <x:c r="AX8" s="30"/>
      <x:c r="AY8" s="30"/>
      <x:c r="AZ8" s="30"/>
    </x:row>
    <x:row r="9">
      <x:c r="A9" s="30" t="str">
        <x:v>C008</x:v>
      </x:c>
      <x:c r="B9" s="30" t="str">
        <x:v>荞麦面基础份</x:v>
      </x:c>
      <x:c r="C9" s="30" t="str">
        <x:v>staple</x:v>
      </x:c>
      <x:c r="D9" s="30" t="str">
        <x:v>whole_grain</x:v>
      </x:c>
      <x:c r="E9" s="30" t="str">
        <x:v>荞麦面干60g</x:v>
      </x:c>
      <x:c r="F9" s="30" t="str">
        <x:v>[{"ingredient_name":"荞麦面干","amount":60,"unit":"g","raw_or_cooked_basis":"unknown","source_basis_text":"荞麦面干60g"}]</x:v>
      </x:c>
      <x:c r="G9" s="30" t="str">
        <x:v>荞麦面干60g</x:v>
      </x:c>
      <x:c r="H9" s="30" t="str">
        <x:v>[{"ingredient_name":"荞麦面干","amount":60,"unit":"g","raw_or_cooked_basis":"unknown","source_basis_text":"荞麦面干60g"}]</x:v>
      </x:c>
      <x:c r="I9" s="30" t="n">
        <x:v>204</x:v>
      </x:c>
      <x:c r="J9" s="30" t="n">
        <x:v>7.2</x:v>
      </x:c>
      <x:c r="K9" s="30" t="n">
        <x:v>40.8</x:v>
      </x:c>
      <x:c r="L9" s="30" t="n">
        <x:v>1.5</x:v>
      </x:c>
      <x:c r="M9" s="30" t="str">
        <x:v>[0.5,0.75,1,1.25,1.5]</x:v>
      </x:c>
      <x:c r="N9" s="30" t="str">
        <x:v>肺结节患者术前菜品与食谱组件库_V2.0_完整版_MDT审阅_AI调用版.docx</x:v>
      </x:c>
      <x:c r="O9" s="30" t="n">
        <x:v>8</x:v>
      </x:c>
      <x:c r="P9" s="30"/>
      <x:c r="Q9" s="30"/>
      <x:c r="R9" s="30"/>
      <x:c r="S9" s="30"/>
      <x:c r="T9" s="30"/>
      <x:c r="U9" s="30"/>
      <x:c r="V9" s="30" t="str">
        <x:v>注意面条成品钠含量。</x:v>
      </x:c>
      <x:c r="W9" s="30" t="str">
        <x:v>可换杂粮饭/全麦馒头。</x:v>
      </x:c>
      <x:c r="X9" s="30" t="str">
        <x:v>["regular_meal"]</x:v>
      </x:c>
      <x:c r="Y9" s="30" t="str">
        <x:v>DRAFT</x:v>
      </x:c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  <x:c r="AU9" s="30"/>
      <x:c r="AV9" s="30"/>
      <x:c r="AW9" s="30"/>
      <x:c r="AX9" s="30"/>
      <x:c r="AY9" s="30"/>
      <x:c r="AZ9" s="30"/>
    </x:row>
    <x:row r="10">
      <x:c r="A10" s="30" t="str">
        <x:v>C009</x:v>
      </x:c>
      <x:c r="B10" s="30" t="str">
        <x:v>小米粥基础份</x:v>
      </x:c>
      <x:c r="C10" s="30" t="str">
        <x:v>staple</x:v>
      </x:c>
      <x:c r="D10" s="30" t="str">
        <x:v>unknown</x:v>
      </x:c>
      <x:c r="E10" s="30" t="str">
        <x:v>小米40g</x:v>
      </x:c>
      <x:c r="F10" s="30" t="str">
        <x:v>[{"ingredient_name":"小米","amount":40,"unit":"g","raw_or_cooked_basis":"unknown","source_basis_text":"小米40g"}]</x:v>
      </x:c>
      <x:c r="G10" s="30" t="str">
        <x:v>小米40g</x:v>
      </x:c>
      <x:c r="H10" s="30" t="str">
        <x:v>[{"ingredient_name":"小米","amount":40,"unit":"g","raw_or_cooked_basis":"unknown","source_basis_text":"小米40g"}]</x:v>
      </x:c>
      <x:c r="I10" s="30" t="n">
        <x:v>144</x:v>
      </x:c>
      <x:c r="J10" s="30" t="n">
        <x:v>3.6</x:v>
      </x:c>
      <x:c r="K10" s="30" t="n">
        <x:v>30</x:v>
      </x:c>
      <x:c r="L10" s="30" t="n">
        <x:v>1.2</x:v>
      </x:c>
      <x:c r="M10" s="30" t="str">
        <x:v>[0.5,0.75,1,1.25,1.5]</x:v>
      </x:c>
      <x:c r="N10" s="30" t="str">
        <x:v>肺结节患者术前菜品与食谱组件库_V2.0_完整版_MDT审阅_AI调用版.docx</x:v>
      </x:c>
      <x:c r="O10" s="30" t="n">
        <x:v>8</x:v>
      </x:c>
      <x:c r="P10" s="30"/>
      <x:c r="Q10" s="30"/>
      <x:c r="R10" s="30"/>
      <x:c r="S10" s="30"/>
      <x:c r="T10" s="30"/>
      <x:c r="U10" s="30"/>
      <x:c r="V10" s="30" t="str">
        <x:v>粥类消化快，糖代谢异常者应搭配蛋白和蔬菜。</x:v>
      </x:c>
      <x:c r="W10" s="30" t="str">
        <x:v>可换燕麦粥。</x:v>
      </x:c>
      <x:c r="X10" s="30" t="str">
        <x:v>["regular_meal"]</x:v>
      </x:c>
      <x:c r="Y10" s="30" t="str">
        <x:v>DRAFT</x:v>
      </x:c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  <x:c r="AU10" s="30"/>
      <x:c r="AV10" s="30"/>
      <x:c r="AW10" s="30"/>
      <x:c r="AX10" s="30"/>
      <x:c r="AY10" s="30"/>
      <x:c r="AZ10" s="30"/>
    </x:row>
    <x:row r="11">
      <x:c r="A11" s="30" t="str">
        <x:v>C010</x:v>
      </x:c>
      <x:c r="B11" s="30" t="str">
        <x:v>红豆小米粥</x:v>
      </x:c>
      <x:c r="C11" s="30" t="str">
        <x:v>staple</x:v>
      </x:c>
      <x:c r="D11" s="30" t="str">
        <x:v>unknown</x:v>
      </x:c>
      <x:c r="E11" s="30" t="str">
        <x:v>小米30g；赤小豆干10g</x:v>
      </x:c>
      <x:c r="F11" s="30" t="str">
        <x:v>[{"ingredient_name":"小米","amount":30,"unit":"g","raw_or_cooked_basis":"unknown","source_basis_text":"小米30g"},{"ingredient_name":"赤小豆干","amount":10,"unit":"g","raw_or_cooked_basis":"unknown","source_basis_text":"赤小豆干10g"}]</x:v>
      </x:c>
      <x:c r="G11" s="30" t="str">
        <x:v>小米30g；赤小豆干10g</x:v>
      </x:c>
      <x:c r="H11" s="30" t="str">
        <x:v>[{"ingredient_name":"小米","amount":30,"unit":"g","raw_or_cooked_basis":"unknown","source_basis_text":"小米30g"},{"ingredient_name":"赤小豆干","amount":10,"unit":"g","raw_or_cooked_basis":"unknown","source_basis_text":"赤小豆干10g"}]</x:v>
      </x:c>
      <x:c r="I11" s="30" t="n">
        <x:v>141</x:v>
      </x:c>
      <x:c r="J11" s="30" t="n">
        <x:v>4.7</x:v>
      </x:c>
      <x:c r="K11" s="30" t="n">
        <x:v>28.9</x:v>
      </x:c>
      <x:c r="L11" s="30" t="n">
        <x:v>1</x:v>
      </x:c>
      <x:c r="M11" s="30" t="str">
        <x:v>[0.5,0.75,1,1.25,1.5]</x:v>
      </x:c>
      <x:c r="N11" s="30" t="str">
        <x:v>肺结节患者术前菜品与食谱组件库_V2.0_完整版_MDT审阅_AI调用版.docx</x:v>
      </x:c>
      <x:c r="O11" s="30" t="n">
        <x:v>8</x:v>
      </x:c>
      <x:c r="P11" s="30"/>
      <x:c r="Q11" s="30"/>
      <x:c r="R11" s="30"/>
      <x:c r="S11" s="30"/>
      <x:c r="T11" s="30"/>
      <x:c r="U11" s="30"/>
      <x:c r="V11" s="30" t="str">
        <x:v>胃肠胀气明显时减量或替换。</x:v>
      </x:c>
      <x:c r="W11" s="30" t="str">
        <x:v>可换燕麦/山药。</x:v>
      </x:c>
      <x:c r="X11" s="30" t="str">
        <x:v>["regular_meal"]</x:v>
      </x:c>
      <x:c r="Y11" s="30" t="str">
        <x:v>DRAFT</x:v>
      </x:c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  <x:c r="AU11" s="30"/>
      <x:c r="AV11" s="30"/>
      <x:c r="AW11" s="30"/>
      <x:c r="AX11" s="30"/>
      <x:c r="AY11" s="30"/>
      <x:c r="AZ11" s="30"/>
    </x:row>
    <x:row r="12">
      <x:c r="A12" s="30" t="str">
        <x:v>C011</x:v>
      </x:c>
      <x:c r="B12" s="30" t="str">
        <x:v>全麦面包基础份</x:v>
      </x:c>
      <x:c r="C12" s="30" t="str">
        <x:v>staple</x:v>
      </x:c>
      <x:c r="D12" s="30" t="str">
        <x:v>whole_grain</x:v>
      </x:c>
      <x:c r="E12" s="30" t="str">
        <x:v>全麦面包70g</x:v>
      </x:c>
      <x:c r="F12" s="30" t="str">
        <x:v>[{"ingredient_name":"全麦面包","amount":70,"unit":"g","raw_or_cooked_basis":"unknown","source_basis_text":"全麦面包70g"}]</x:v>
      </x:c>
      <x:c r="G12" s="30" t="str">
        <x:v>全麦面包70g</x:v>
      </x:c>
      <x:c r="H12" s="30" t="str">
        <x:v>[{"ingredient_name":"全麦面包","amount":70,"unit":"g","raw_or_cooked_basis":"unknown","source_basis_text":"全麦面包70g"}]</x:v>
      </x:c>
      <x:c r="I12" s="30" t="n">
        <x:v>172</x:v>
      </x:c>
      <x:c r="J12" s="30" t="n">
        <x:v>6.3</x:v>
      </x:c>
      <x:c r="K12" s="30" t="n">
        <x:v>28.7</x:v>
      </x:c>
      <x:c r="L12" s="30" t="n">
        <x:v>2.9</x:v>
      </x:c>
      <x:c r="M12" s="30" t="str">
        <x:v>[0.5,0.75,1,1.25,1.5]</x:v>
      </x:c>
      <x:c r="N12" s="30" t="str">
        <x:v>肺结节患者术前菜品与食谱组件库_V2.0_完整版_MDT审阅_AI调用版.docx</x:v>
      </x:c>
      <x:c r="O12" s="30" t="n">
        <x:v>8</x:v>
      </x:c>
      <x:c r="P12" s="30"/>
      <x:c r="Q12" s="30"/>
      <x:c r="R12" s="30"/>
      <x:c r="S12" s="30"/>
      <x:c r="T12" s="30"/>
      <x:c r="U12" s="30"/>
      <x:c r="V12" s="30" t="str">
        <x:v>商业面包钠、糖、脂肪差异大，需读取标签。</x:v>
      </x:c>
      <x:c r="W12" s="30" t="str">
        <x:v>可换全麦馒头。</x:v>
      </x:c>
      <x:c r="X12" s="30" t="str">
        <x:v>["regular_meal"]</x:v>
      </x:c>
      <x:c r="Y12" s="30" t="str">
        <x:v>DRAFT</x:v>
      </x:c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0"/>
      <x:c r="AU12" s="30"/>
      <x:c r="AV12" s="30"/>
      <x:c r="AW12" s="30"/>
      <x:c r="AX12" s="30"/>
      <x:c r="AY12" s="30"/>
      <x:c r="AZ12" s="30"/>
    </x:row>
    <x:row r="13">
      <x:c r="A13" s="30" t="str">
        <x:v>C012</x:v>
      </x:c>
      <x:c r="B13" s="30" t="str">
        <x:v>山药主食份</x:v>
      </x:c>
      <x:c r="C13" s="30" t="str">
        <x:v>staple</x:v>
      </x:c>
      <x:c r="D13" s="30" t="str">
        <x:v>tuber</x:v>
      </x:c>
      <x:c r="E13" s="30" t="str">
        <x:v>山药200g</x:v>
      </x:c>
      <x:c r="F13" s="30" t="str">
        <x:v>[{"ingredient_name":"山药","amount":200,"unit":"g","raw_or_cooked_basis":"unknown","source_basis_text":"山药200g"}]</x:v>
      </x:c>
      <x:c r="G13" s="30" t="str">
        <x:v>山药200g</x:v>
      </x:c>
      <x:c r="H13" s="30" t="str">
        <x:v>[{"ingredient_name":"山药","amount":200,"unit":"g","raw_or_cooked_basis":"unknown","source_basis_text":"山药200g"}]</x:v>
      </x:c>
      <x:c r="I13" s="30" t="n">
        <x:v>114</x:v>
      </x:c>
      <x:c r="J13" s="30" t="n">
        <x:v>3.8</x:v>
      </x:c>
      <x:c r="K13" s="30" t="n">
        <x:v>24.8</x:v>
      </x:c>
      <x:c r="L13" s="30" t="n">
        <x:v>0.4</x:v>
      </x:c>
      <x:c r="M13" s="30" t="str">
        <x:v>[0.5,0.75,1,1.25,1.5]</x:v>
      </x:c>
      <x:c r="N13" s="30" t="str">
        <x:v>肺结节患者术前菜品与食谱组件库_V2.0_完整版_MDT审阅_AI调用版.docx</x:v>
      </x:c>
      <x:c r="O13" s="30" t="n">
        <x:v>8</x:v>
      </x:c>
      <x:c r="P13" s="30"/>
      <x:c r="Q13" s="30"/>
      <x:c r="R13" s="30"/>
      <x:c r="S13" s="30"/>
      <x:c r="T13" s="30"/>
      <x:c r="U13" s="30"/>
      <x:c r="V13" s="30" t="str">
        <x:v>能量较低，D/E型若需增加能量应搭配其他主食和蛋白。</x:v>
      </x:c>
      <x:c r="W13" s="30" t="str">
        <x:v>可换红薯/米饭。</x:v>
      </x:c>
      <x:c r="X13" s="30" t="str">
        <x:v>["regular_meal"]</x:v>
      </x:c>
      <x:c r="Y13" s="30" t="str">
        <x:v>DRAFT</x:v>
      </x:c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0"/>
      <x:c r="AU13" s="30"/>
      <x:c r="AV13" s="30"/>
      <x:c r="AW13" s="30"/>
      <x:c r="AX13" s="30"/>
      <x:c r="AY13" s="30"/>
      <x:c r="AZ13" s="30"/>
    </x:row>
    <x:row r="14">
      <x:c r="A14" s="30" t="str">
        <x:v>P001</x:v>
      </x:c>
      <x:c r="B14" s="30" t="str">
        <x:v>清蒸鲈鱼</x:v>
      </x:c>
      <x:c r="C14" s="30" t="str">
        <x:v>protein</x:v>
      </x:c>
      <x:c r="D14" s="30" t="str">
        <x:v>fish</x:v>
      </x:c>
      <x:c r="E14" s="30" t="str">
        <x:v>鲈鱼100g；植物油3g</x:v>
      </x:c>
      <x:c r="F14" s="30" t="str">
        <x:v>[{"ingredient_name":"鲈鱼","amount":100,"unit":"g","raw_or_cooked_basis":"unknown","source_basis_text":"鲈鱼100g"},{"ingredient_name":"植物油","amount":3,"unit":"g","raw_or_cooked_basis":"unknown","source_basis_text":"植物油3g"}]</x:v>
      </x:c>
      <x:c r="G14" s="30" t="str">
        <x:v>鲈鱼100g；植物油3g</x:v>
      </x:c>
      <x:c r="H14" s="30" t="str">
        <x:v>[{"ingredient_name":"鲈鱼","amount":100,"unit":"g","raw_or_cooked_basis":"unknown","source_basis_text":"鲈鱼100g"},{"ingredient_name":"植物油","amount":3,"unit":"g","raw_or_cooked_basis":"unknown","source_basis_text":"植物油3g"}]</x:v>
      </x:c>
      <x:c r="I14" s="30" t="n">
        <x:v>132</x:v>
      </x:c>
      <x:c r="J14" s="30" t="n">
        <x:v>18.6</x:v>
      </x:c>
      <x:c r="K14" s="30" t="n">
        <x:v>0</x:v>
      </x:c>
      <x:c r="L14" s="30" t="n">
        <x:v>6.4</x:v>
      </x:c>
      <x:c r="M14" s="30" t="str">
        <x:v>[0.5,0.75,1,1.25,1.5]</x:v>
      </x:c>
      <x:c r="N14" s="30" t="str">
        <x:v>肺结节患者术前菜品与食谱组件库_V2.0_完整版_MDT审阅_AI调用版.docx</x:v>
      </x:c>
      <x:c r="O14" s="30" t="n">
        <x:v>9</x:v>
      </x:c>
      <x:c r="P14" s="30"/>
      <x:c r="Q14" s="30"/>
      <x:c r="R14" s="30"/>
      <x:c r="S14" s="30"/>
      <x:c r="T14" s="30"/>
      <x:c r="U14" s="30"/>
      <x:c r="V14" s="30" t="str">
        <x:v>鱼类过敏者禁用；严重肾病蛋白目标另行评估。</x:v>
      </x:c>
      <x:c r="W14" s="30" t="str">
        <x:v>换鸡胸肉P003/豆腐P008。</x:v>
      </x:c>
      <x:c r="X14" s="30" t="str">
        <x:v>["protein_support","regular_meal"]</x:v>
      </x:c>
      <x:c r="Y14" s="30" t="str">
        <x:v>DRAFT</x:v>
      </x:c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P14" s="30"/>
      <x:c r="AQ14" s="30"/>
      <x:c r="AR14" s="30"/>
      <x:c r="AS14" s="30"/>
      <x:c r="AT14" s="30"/>
      <x:c r="AU14" s="30"/>
      <x:c r="AV14" s="30"/>
      <x:c r="AW14" s="30"/>
      <x:c r="AX14" s="30"/>
      <x:c r="AY14" s="30"/>
      <x:c r="AZ14" s="30"/>
    </x:row>
    <x:row r="15">
      <x:c r="A15" s="30" t="str">
        <x:v>P002</x:v>
      </x:c>
      <x:c r="B15" s="30" t="str">
        <x:v>清蒸鳕鱼</x:v>
      </x:c>
      <x:c r="C15" s="30" t="str">
        <x:v>protein</x:v>
      </x:c>
      <x:c r="D15" s="30" t="str">
        <x:v>fish</x:v>
      </x:c>
      <x:c r="E15" s="30" t="str">
        <x:v>鳕鱼100g；植物油3g</x:v>
      </x:c>
      <x:c r="F15" s="30" t="str">
        <x:v>[{"ingredient_name":"鳕鱼","amount":100,"unit":"g","raw_or_cooked_basis":"unknown","source_basis_text":"鳕鱼100g"},{"ingredient_name":"植物油","amount":3,"unit":"g","raw_or_cooked_basis":"unknown","source_basis_text":"植物油3g"}]</x:v>
      </x:c>
      <x:c r="G15" s="30" t="str">
        <x:v>鳕鱼100g；植物油3g</x:v>
      </x:c>
      <x:c r="H15" s="30" t="str">
        <x:v>[{"ingredient_name":"鳕鱼","amount":100,"unit":"g","raw_or_cooked_basis":"unknown","source_basis_text":"鳕鱼100g"},{"ingredient_name":"植物油","amount":3,"unit":"g","raw_or_cooked_basis":"unknown","source_basis_text":"植物油3g"}]</x:v>
      </x:c>
      <x:c r="I15" s="30" t="n">
        <x:v>115</x:v>
      </x:c>
      <x:c r="J15" s="30" t="n">
        <x:v>20.4</x:v>
      </x:c>
      <x:c r="K15" s="30" t="n">
        <x:v>0</x:v>
      </x:c>
      <x:c r="L15" s="30" t="n">
        <x:v>3.7</x:v>
      </x:c>
      <x:c r="M15" s="30" t="str">
        <x:v>[0.5,0.75,1,1.25,1.5]</x:v>
      </x:c>
      <x:c r="N15" s="30" t="str">
        <x:v>肺结节患者术前菜品与食谱组件库_V2.0_完整版_MDT审阅_AI调用版.docx</x:v>
      </x:c>
      <x:c r="O15" s="30" t="n">
        <x:v>9</x:v>
      </x:c>
      <x:c r="P15" s="30"/>
      <x:c r="Q15" s="30"/>
      <x:c r="R15" s="30"/>
      <x:c r="S15" s="30"/>
      <x:c r="T15" s="30"/>
      <x:c r="U15" s="30"/>
      <x:c r="V15" s="30" t="str">
        <x:v>鱼类过敏者禁用。</x:v>
      </x:c>
      <x:c r="W15" s="30" t="str">
        <x:v>换鲈鱼/鸡肉。</x:v>
      </x:c>
      <x:c r="X15" s="30" t="str">
        <x:v>["protein_support","regular_meal"]</x:v>
      </x:c>
      <x:c r="Y15" s="30" t="str">
        <x:v>DRAFT</x:v>
      </x:c>
      <x:c r="Z15" s="30"/>
      <x:c r="AA15" s="30"/>
      <x:c r="AB15" s="30"/>
      <x:c r="AC15" s="30"/>
      <x:c r="AD15" s="30"/>
      <x:c r="AE15" s="30"/>
      <x:c r="AF15" s="30"/>
      <x:c r="AG15" s="30"/>
      <x:c r="AH15" s="30"/>
      <x:c r="AI15" s="30"/>
      <x:c r="AJ15" s="30"/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0"/>
      <x:c r="AU15" s="30"/>
      <x:c r="AV15" s="30"/>
      <x:c r="AW15" s="30"/>
      <x:c r="AX15" s="30"/>
      <x:c r="AY15" s="30"/>
      <x:c r="AZ15" s="30"/>
    </x:row>
    <x:row r="16">
      <x:c r="A16" s="30" t="str">
        <x:v>P003</x:v>
      </x:c>
      <x:c r="B16" s="30" t="str">
        <x:v>香草/葱姜鸡胸</x:v>
      </x:c>
      <x:c r="C16" s="30" t="str">
        <x:v>protein</x:v>
      </x:c>
      <x:c r="D16" s="30" t="str">
        <x:v>poultry</x:v>
      </x:c>
      <x:c r="E16" s="30" t="str">
        <x:v>鸡胸肉100g；植物油5g</x:v>
      </x:c>
      <x:c r="F16" s="30" t="str">
        <x:v>[{"ingredient_name":"鸡胸肉","amount":100,"unit":"g","raw_or_cooked_basis":"unknown","source_basis_text":"鸡胸肉100g"},{"ingredient_name":"植物油","amount":5,"unit":"g","raw_or_cooked_basis":"unknown","source_basis_text":"植物油5g"}]</x:v>
      </x:c>
      <x:c r="G16" s="30" t="str">
        <x:v>鸡胸肉100g；植物油5g</x:v>
      </x:c>
      <x:c r="H16" s="30" t="str">
        <x:v>[{"ingredient_name":"鸡胸肉","amount":100,"unit":"g","raw_or_cooked_basis":"unknown","source_basis_text":"鸡胸肉100g"},{"ingredient_name":"植物油","amount":5,"unit":"g","raw_or_cooked_basis":"unknown","source_basis_text":"植物油5g"}]</x:v>
      </x:c>
      <x:c r="I16" s="30" t="n">
        <x:v>178</x:v>
      </x:c>
      <x:c r="J16" s="30" t="n">
        <x:v>24.6</x:v>
      </x:c>
      <x:c r="K16" s="30" t="n">
        <x:v>0</x:v>
      </x:c>
      <x:c r="L16" s="30" t="n">
        <x:v>8.4</x:v>
      </x:c>
      <x:c r="M16" s="30" t="str">
        <x:v>[0.5,0.75,1,1.25,1.5]</x:v>
      </x:c>
      <x:c r="N16" s="30" t="str">
        <x:v>肺结节患者术前菜品与食谱组件库_V2.0_完整版_MDT审阅_AI调用版.docx</x:v>
      </x:c>
      <x:c r="O16" s="30" t="n">
        <x:v>9</x:v>
      </x:c>
      <x:c r="P16" s="30"/>
      <x:c r="Q16" s="30"/>
      <x:c r="R16" s="30"/>
      <x:c r="S16" s="30"/>
      <x:c r="T16" s="30"/>
      <x:c r="U16" s="30"/>
      <x:c r="V16" s="30" t="str">
        <x:v>咀嚼困难者切碎或改软烂烹饪。</x:v>
      </x:c>
      <x:c r="W16" s="30" t="str">
        <x:v>换鸡腿肉/鱼/豆腐。</x:v>
      </x:c>
      <x:c r="X16" s="30" t="str">
        <x:v>["protein_support","regular_meal"]</x:v>
      </x:c>
      <x:c r="Y16" s="30" t="str">
        <x:v>DRAFT</x:v>
      </x:c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0"/>
      <x:c r="AJ16" s="30"/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0"/>
      <x:c r="AU16" s="30"/>
      <x:c r="AV16" s="30"/>
      <x:c r="AW16" s="30"/>
      <x:c r="AX16" s="30"/>
      <x:c r="AY16" s="30"/>
      <x:c r="AZ16" s="30"/>
    </x:row>
    <x:row r="17">
      <x:c r="A17" s="30" t="str">
        <x:v>P004</x:v>
      </x:c>
      <x:c r="B17" s="30" t="str">
        <x:v>去皮鸡腿肉炖菇</x:v>
      </x:c>
      <x:c r="C17" s="30" t="str">
        <x:v>protein</x:v>
      </x:c>
      <x:c r="D17" s="30" t="str">
        <x:v>poultry</x:v>
      </x:c>
      <x:c r="E17" s="30" t="str">
        <x:v>鸡腿肉去皮100g；香菇鲜80g；植物油4g</x:v>
      </x:c>
      <x:c r="F17" s="30" t="str">
        <x: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x:v>
      </x:c>
      <x:c r="G17" s="30" t="str">
        <x:v>鸡腿肉去皮100g；香菇鲜80g；植物油4g</x:v>
      </x:c>
      <x:c r="H17" s="30" t="str">
        <x:v>[{"ingredient_name":"鸡腿肉去皮","amount":100,"unit":"g","raw_or_cooked_basis":"unknown","source_basis_text":"鸡腿肉去皮100g"},{"ingredient_name":"香菇鲜","amount":80,"unit":"g","raw_or_cooked_basis":"unknown","source_basis_text":"香菇鲜80g"},{"ingredient_name":"植物油","amount":4,"unit":"g","raw_or_cooked_basis":"unknown","source_basis_text":"植物油4g"}]</x:v>
      </x:c>
      <x:c r="I17" s="30" t="n">
        <x:v>203</x:v>
      </x:c>
      <x:c r="J17" s="30" t="n">
        <x:v>22</x:v>
      </x:c>
      <x:c r="K17" s="30" t="n">
        <x:v>4.2</x:v>
      </x:c>
      <x:c r="L17" s="30" t="n">
        <x:v>11.2</x:v>
      </x:c>
      <x:c r="M17" s="30" t="str">
        <x:v>[0.5,0.75,1,1.25,1.5]</x:v>
      </x:c>
      <x:c r="N17" s="30" t="str">
        <x:v>肺结节患者术前菜品与食谱组件库_V2.0_完整版_MDT审阅_AI调用版.docx</x:v>
      </x:c>
      <x:c r="O17" s="30" t="n">
        <x:v>9</x:v>
      </x:c>
      <x:c r="P17" s="30"/>
      <x:c r="Q17" s="30"/>
      <x:c r="R17" s="30"/>
      <x:c r="S17" s="30"/>
      <x:c r="T17" s="30"/>
      <x:c r="U17" s="30"/>
      <x:c r="V17" s="30" t="str">
        <x:v>脂肪控制严格者优先P003。</x:v>
      </x:c>
      <x:c r="W17" s="30" t="str">
        <x:v>换鸡胸肉/鱼。</x:v>
      </x:c>
      <x:c r="X17" s="30" t="str">
        <x:v>["protein_support","regular_meal"]</x:v>
      </x:c>
      <x:c r="Y17" s="30" t="str">
        <x:v>DRAFT</x:v>
      </x:c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0"/>
      <x:c r="AJ17" s="30"/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0"/>
      <x:c r="AU17" s="30"/>
      <x:c r="AV17" s="30"/>
      <x:c r="AW17" s="30"/>
      <x:c r="AX17" s="30"/>
      <x:c r="AY17" s="30"/>
      <x:c r="AZ17" s="30"/>
    </x:row>
    <x:row r="18">
      <x:c r="A18" s="30" t="str">
        <x:v>P005</x:v>
      </x:c>
      <x:c r="B18" s="30" t="str">
        <x:v>番茄炖瘦牛肉</x:v>
      </x:c>
      <x:c r="C18" s="30" t="str">
        <x:v>protein</x:v>
      </x:c>
      <x:c r="D18" s="30" t="str">
        <x:v>lean_meat</x:v>
      </x:c>
      <x:c r="E18" s="30" t="str">
        <x:v>瘦牛肉80g；番茄150g；植物油5g</x:v>
      </x:c>
      <x:c r="F18" s="30" t="str">
        <x: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x:v>
      </x:c>
      <x:c r="G18" s="30" t="str">
        <x:v>瘦牛肉80g；番茄150g；植物油5g</x:v>
      </x:c>
      <x:c r="H18" s="30" t="str">
        <x:v>[{"ingredient_name":"瘦牛肉","amount":80,"unit":"g","raw_or_cooked_basis":"unknown","source_basis_text":"瘦牛肉80g"},{"ingredient_name":"番茄","amount":150,"unit":"g","raw_or_cooked_basis":"unknown","source_basis_text":"番茄150g"},{"ingredient_name":"植物油","amount":5,"unit":"g","raw_or_cooked_basis":"unknown","source_basis_text":"植物油5g"}]</x:v>
      </x:c>
      <x:c r="I18" s="30" t="n">
        <x:v>175</x:v>
      </x:c>
      <x:c r="J18" s="30" t="n">
        <x:v>17.5</x:v>
      </x:c>
      <x:c r="K18" s="30" t="n">
        <x:v>6</x:v>
      </x:c>
      <x:c r="L18" s="30" t="n">
        <x:v>8.7</x:v>
      </x:c>
      <x:c r="M18" s="30" t="str">
        <x:v>[0.5,0.75,1,1.25,1.5]</x:v>
      </x:c>
      <x:c r="N18" s="30" t="str">
        <x:v>肺结节患者术前菜品与食谱组件库_V2.0_完整版_MDT审阅_AI调用版.docx</x:v>
      </x:c>
      <x:c r="O18" s="30" t="n">
        <x:v>9</x:v>
      </x:c>
      <x:c r="P18" s="30"/>
      <x:c r="Q18" s="30"/>
      <x:c r="R18" s="30"/>
      <x:c r="S18" s="30"/>
      <x:c r="T18" s="30"/>
      <x:c r="U18" s="30"/>
      <x:c r="V18" s="30" t="str">
        <x:v>高尿酸/痛风患者肉类总量及急性期策略需按医护规则。</x:v>
      </x:c>
      <x:c r="W18" s="30" t="str">
        <x:v>换鸡肉/豆腐。</x:v>
      </x:c>
      <x:c r="X18" s="30" t="str">
        <x:v>["protein_support","regular_meal"]</x:v>
      </x:c>
      <x:c r="Y18" s="30" t="str">
        <x:v>DRAFT</x:v>
      </x:c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0"/>
      <x:c r="AJ18" s="30"/>
      <x:c r="AK18" s="30"/>
      <x:c r="AL18" s="30"/>
      <x:c r="AM18" s="30"/>
      <x:c r="AN18" s="30"/>
      <x:c r="AO18" s="30"/>
      <x:c r="AP18" s="30"/>
      <x:c r="AQ18" s="30"/>
      <x:c r="AR18" s="30"/>
      <x:c r="AS18" s="30"/>
      <x:c r="AT18" s="30"/>
      <x:c r="AU18" s="30"/>
      <x:c r="AV18" s="30"/>
      <x:c r="AW18" s="30"/>
      <x:c r="AX18" s="30"/>
      <x:c r="AY18" s="30"/>
      <x:c r="AZ18" s="30"/>
    </x:row>
    <x:row r="19">
      <x:c r="A19" s="30" t="str">
        <x:v>P006</x:v>
      </x:c>
      <x:c r="B19" s="30" t="str">
        <x:v>芹菜木耳里脊</x:v>
      </x:c>
      <x:c r="C19" s="30" t="str">
        <x:v>protein</x:v>
      </x:c>
      <x:c r="D19" s="30" t="str">
        <x:v>lean_meat</x:v>
      </x:c>
      <x:c r="E19" s="30" t="str">
        <x:v>猪里脊80g；芹菜100g；木耳鲜50g；植物油5g</x:v>
      </x:c>
      <x:c r="F19" s="30" t="str">
        <x: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x:v>
      </x:c>
      <x:c r="G19" s="30" t="str">
        <x:v>猪里脊80g；芹菜100g；木耳鲜50g；植物油5g</x:v>
      </x:c>
      <x:c r="H19" s="30" t="str">
        <x:v>[{"ingredient_name":"猪里脊","amount":80,"unit":"g","raw_or_cooked_basis":"unknown","source_basis_text":"猪里脊80g"},{"ingredient_name":"芹菜","amount":100,"unit":"g","raw_or_cooked_basis":"unknown","source_basis_text":"芹菜100g"},{"ingredient_name":"木耳鲜","amount":50,"unit":"g","raw_or_cooked_basis":"unknown","source_basis_text":"木耳鲜50g"},{"ingredient_name":"植物油","amount":5,"unit":"g","raw_or_cooked_basis":"unknown","source_basis_text":"植物油5g"}]</x:v>
      </x:c>
      <x:c r="I19" s="30" t="n">
        <x:v>190</x:v>
      </x:c>
      <x:c r="J19" s="30" t="n">
        <x:v>17.7</x:v>
      </x:c>
      <x:c r="K19" s="30" t="n">
        <x:v>6.9</x:v>
      </x:c>
      <x:c r="L19" s="30" t="n">
        <x:v>10.2</x:v>
      </x:c>
      <x:c r="M19" s="30" t="str">
        <x:v>[0.5,0.75,1,1.25,1.5]</x:v>
      </x:c>
      <x:c r="N19" s="30" t="str">
        <x:v>肺结节患者术前菜品与食谱组件库_V2.0_完整版_MDT审阅_AI调用版.docx</x:v>
      </x:c>
      <x:c r="O19" s="30" t="n">
        <x:v>9</x:v>
      </x:c>
      <x:c r="P19" s="30"/>
      <x:c r="Q19" s="30"/>
      <x:c r="R19" s="30"/>
      <x:c r="S19" s="30"/>
      <x:c r="T19" s="30"/>
      <x:c r="U19" s="30"/>
      <x:c r="V19" s="30" t="str">
        <x:v>高血压者避免酱油/蚝油过量。</x:v>
      </x:c>
      <x:c r="W19" s="30" t="str">
        <x:v>换鸡胸/虾仁。</x:v>
      </x:c>
      <x:c r="X19" s="30" t="str">
        <x:v>["protein_support","regular_meal"]</x:v>
      </x:c>
      <x:c r="Y19" s="30" t="str">
        <x:v>DRAFT</x:v>
      </x:c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0"/>
      <x:c r="AJ19" s="30"/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0"/>
      <x:c r="AU19" s="30"/>
      <x:c r="AV19" s="30"/>
      <x:c r="AW19" s="30"/>
      <x:c r="AX19" s="30"/>
      <x:c r="AY19" s="30"/>
      <x:c r="AZ19" s="30"/>
    </x:row>
    <x:row r="20">
      <x:c r="A20" s="30" t="str">
        <x:v>P007</x:v>
      </x:c>
      <x:c r="B20" s="30" t="str">
        <x:v>虾仁蒸蛋</x:v>
      </x:c>
      <x:c r="C20" s="30" t="str">
        <x:v>protein</x:v>
      </x:c>
      <x:c r="D20" s="30" t="str">
        <x:v>fish</x:v>
      </x:c>
      <x:c r="E20" s="30" t="str">
        <x:v>虾仁60g；鸡蛋50g；植物油2g</x:v>
      </x:c>
      <x:c r="F20" s="30" t="str">
        <x: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x:v>
      </x:c>
      <x:c r="G20" s="30" t="str">
        <x:v>虾仁60g；鸡蛋50g；植物油2g</x:v>
      </x:c>
      <x:c r="H20" s="30" t="str">
        <x:v>[{"ingredient_name":"虾仁","amount":60,"unit":"g","raw_or_cooked_basis":"unknown","source_basis_text":"虾仁60g"},{"ingredient_name":"鸡蛋","amount":50,"unit":"g","raw_or_cooked_basis":"unknown","source_basis_text":"鸡蛋50g"},{"ingredient_name":"植物油","amount":2,"unit":"g","raw_or_cooked_basis":"unknown","source_basis_text":"植物油2g"}]</x:v>
      </x:c>
      <x:c r="I20" s="30" t="n">
        <x:v>149</x:v>
      </x:c>
      <x:c r="J20" s="30" t="n">
        <x:v>18.8</x:v>
      </x:c>
      <x:c r="K20" s="30" t="n">
        <x:v>1.5</x:v>
      </x:c>
      <x:c r="L20" s="30" t="n">
        <x:v>7.4</x:v>
      </x:c>
      <x:c r="M20" s="30" t="str">
        <x:v>[0.5,0.75,1,1.25,1.5]</x:v>
      </x:c>
      <x:c r="N20" s="30" t="str">
        <x:v>肺结节患者术前菜品与食谱组件库_V2.0_完整版_MDT审阅_AI调用版.docx</x:v>
      </x:c>
      <x:c r="O20" s="30" t="n">
        <x:v>9</x:v>
      </x:c>
      <x:c r="P20" s="30"/>
      <x:c r="Q20" s="30"/>
      <x:c r="R20" s="30"/>
      <x:c r="S20" s="30"/>
      <x:c r="T20" s="30"/>
      <x:c r="U20" s="30"/>
      <x:c r="V20" s="30" t="str">
        <x:v>海鲜过敏禁用；高尿酸患者按个体规则。</x:v>
      </x:c>
      <x:c r="W20" s="30" t="str">
        <x:v>换鸡蛋豆腐羹。</x:v>
      </x:c>
      <x:c r="X20" s="30" t="str">
        <x:v>["protein_support","regular_meal"]</x:v>
      </x:c>
      <x:c r="Y20" s="30" t="str">
        <x:v>DRAFT</x:v>
      </x:c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0"/>
      <x:c r="AJ20" s="30"/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0"/>
      <x:c r="AU20" s="30"/>
      <x:c r="AV20" s="30"/>
      <x:c r="AW20" s="30"/>
      <x:c r="AX20" s="30"/>
      <x:c r="AY20" s="30"/>
      <x:c r="AZ20" s="30"/>
    </x:row>
    <x:row r="21">
      <x:c r="A21" s="30" t="str">
        <x:v>P008</x:v>
      </x:c>
      <x:c r="B21" s="30" t="str">
        <x:v>香菇烧北豆腐</x:v>
      </x:c>
      <x:c r="C21" s="30" t="str">
        <x:v>protein</x:v>
      </x:c>
      <x:c r="D21" s="30" t="str">
        <x:v>soy</x:v>
      </x:c>
      <x:c r="E21" s="30" t="str">
        <x:v>北豆腐150g；香菇鲜80g；植物油5g</x:v>
      </x:c>
      <x:c r="F21" s="30" t="str">
        <x: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G21" s="30" t="str">
        <x:v>北豆腐150g；香菇鲜80g；植物油5g</x:v>
      </x:c>
      <x:c r="H21" s="30" t="str">
        <x:v>[{"ingredient_name":"北豆腐","amount":150,"unit":"g","raw_or_cooked_basis":"unknown","source_basis_text":"北豆腐150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I21" s="30" t="n">
        <x:v>240</x:v>
      </x:c>
      <x:c r="J21" s="30" t="n">
        <x:v>20.1</x:v>
      </x:c>
      <x:c r="K21" s="30" t="n">
        <x:v>8.7</x:v>
      </x:c>
      <x:c r="L21" s="30" t="n">
        <x:v>15</x:v>
      </x:c>
      <x:c r="M21" s="30" t="str">
        <x:v>[0.5,0.75,1,1.25,1.5]</x:v>
      </x:c>
      <x:c r="N21" s="30" t="str">
        <x:v>肺结节患者术前菜品与食谱组件库_V2.0_完整版_MDT审阅_AI调用版.docx</x:v>
      </x:c>
      <x:c r="O21" s="30" t="n">
        <x:v>9</x:v>
      </x:c>
      <x:c r="P21" s="30"/>
      <x:c r="Q21" s="30"/>
      <x:c r="R21" s="30"/>
      <x:c r="S21" s="30"/>
      <x:c r="T21" s="30"/>
      <x:c r="U21" s="30"/>
      <x:c r="V21" s="30" t="str">
        <x:v>胃肠胀气者观察耐受。</x:v>
      </x:c>
      <x:c r="W21" s="30" t="str">
        <x:v>换蒸蛋/鱼。</x:v>
      </x:c>
      <x:c r="X21" s="30" t="str">
        <x:v>["protein_support","regular_meal"]</x:v>
      </x:c>
      <x:c r="Y21" s="30" t="str">
        <x:v>DRAFT</x:v>
      </x:c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0"/>
      <x:c r="AU21" s="30"/>
      <x:c r="AV21" s="30"/>
      <x:c r="AW21" s="30"/>
      <x:c r="AX21" s="30"/>
      <x:c r="AY21" s="30"/>
      <x:c r="AZ21" s="30"/>
    </x:row>
    <x:row r="22">
      <x:c r="A22" s="30" t="str">
        <x:v>P009</x:v>
      </x:c>
      <x:c r="B22" s="30" t="str">
        <x:v>番茄炒蛋（少油版）</x:v>
      </x:c>
      <x:c r="C22" s="30" t="str">
        <x:v>protein</x:v>
      </x:c>
      <x:c r="D22" s="30" t="str">
        <x:v>egg</x:v>
      </x:c>
      <x:c r="E22" s="30" t="str">
        <x:v>鸡蛋100g；番茄200g；植物油5g</x:v>
      </x:c>
      <x:c r="F22" s="30" t="str">
        <x: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x:v>
      </x:c>
      <x:c r="G22" s="30" t="str">
        <x:v>鸡蛋100g；番茄200g；植物油5g</x:v>
      </x:c>
      <x:c r="H22" s="30" t="str">
        <x:v>[{"ingredient_name":"鸡蛋","amount":100,"unit":"g","raw_or_cooked_basis":"unknown","source_basis_text":"鸡蛋100g"},{"ingredient_name":"番茄","amount":200,"unit":"g","raw_or_cooked_basis":"unknown","source_basis_text":"番茄200g"},{"ingredient_name":"植物油","amount":5,"unit":"g","raw_or_cooked_basis":"unknown","source_basis_text":"植物油5g"}]</x:v>
      </x:c>
      <x:c r="I22" s="30" t="n">
        <x:v>229</x:v>
      </x:c>
      <x:c r="J22" s="30" t="n">
        <x:v>15.1</x:v>
      </x:c>
      <x:c r="K22" s="30" t="n">
        <x:v>10.8</x:v>
      </x:c>
      <x:c r="L22" s="30" t="n">
        <x:v>14.2</x:v>
      </x:c>
      <x:c r="M22" s="30" t="str">
        <x:v>[0.5,0.75,1,1.25,1.5]</x:v>
      </x:c>
      <x:c r="N22" s="30" t="str">
        <x:v>肺结节患者术前菜品与食谱组件库_V2.0_完整版_MDT审阅_AI调用版.docx</x:v>
      </x:c>
      <x:c r="O22" s="30" t="n">
        <x:v>9</x:v>
      </x:c>
      <x:c r="P22" s="30"/>
      <x:c r="Q22" s="30"/>
      <x:c r="R22" s="30"/>
      <x:c r="S22" s="30"/>
      <x:c r="T22" s="30"/>
      <x:c r="U22" s="30"/>
      <x:c r="V22" s="30" t="str">
        <x:v>血脂异常者鸡蛋总量按整体膳食计划。</x:v>
      </x:c>
      <x:c r="W22" s="30" t="str">
        <x:v>换蒸蛋/豆腐。</x:v>
      </x:c>
      <x:c r="X22" s="30" t="str">
        <x:v>["protein_support","regular_meal"]</x:v>
      </x:c>
      <x:c r="Y22" s="30" t="str">
        <x:v>DRAFT</x:v>
      </x:c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0"/>
      <x:c r="AJ22" s="30"/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0"/>
      <x:c r="AU22" s="30"/>
      <x:c r="AV22" s="30"/>
      <x:c r="AW22" s="30"/>
      <x:c r="AX22" s="30"/>
      <x:c r="AY22" s="30"/>
      <x:c r="AZ22" s="30"/>
    </x:row>
    <x:row r="23">
      <x:c r="A23" s="30" t="str">
        <x:v>P010</x:v>
      </x:c>
      <x:c r="B23" s="30" t="str">
        <x:v>西兰花虾仁</x:v>
      </x:c>
      <x:c r="C23" s="30" t="str">
        <x:v>protein</x:v>
      </x:c>
      <x:c r="D23" s="30" t="str">
        <x:v>fish</x:v>
      </x:c>
      <x:c r="E23" s="30" t="str">
        <x:v>虾仁80g；西兰花150g；植物油5g</x:v>
      </x:c>
      <x:c r="F23" s="30" t="str">
        <x: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x:v>
      </x:c>
      <x:c r="G23" s="30" t="str">
        <x:v>虾仁80g；西兰花150g；植物油5g</x:v>
      </x:c>
      <x:c r="H23" s="30" t="str">
        <x:v>[{"ingredient_name":"虾仁","amount":80,"unit":"g","raw_or_cooked_basis":"unknown","source_basis_text":"虾仁80g"},{"ingredient_name":"西兰花","amount":150,"unit":"g","raw_or_cooked_basis":"unknown","source_basis_text":"西兰花150g"},{"ingredient_name":"植物油","amount":5,"unit":"g","raw_or_cooked_basis":"unknown","source_basis_text":"植物油5g"}]</x:v>
      </x:c>
      <x:c r="I23" s="30" t="n">
        <x:v>178</x:v>
      </x:c>
      <x:c r="J23" s="30" t="n">
        <x:v>22.4</x:v>
      </x:c>
      <x:c r="K23" s="30" t="n">
        <x:v>6.6</x:v>
      </x:c>
      <x:c r="L23" s="30" t="n">
        <x:v>7.3</x:v>
      </x:c>
      <x:c r="M23" s="30" t="str">
        <x:v>[0.5,0.75,1,1.25,1.5]</x:v>
      </x:c>
      <x:c r="N23" s="30" t="str">
        <x:v>肺结节患者术前菜品与食谱组件库_V2.0_完整版_MDT审阅_AI调用版.docx</x:v>
      </x:c>
      <x:c r="O23" s="30" t="n">
        <x:v>9</x:v>
      </x:c>
      <x:c r="P23" s="30"/>
      <x:c r="Q23" s="30"/>
      <x:c r="R23" s="30"/>
      <x:c r="S23" s="30"/>
      <x:c r="T23" s="30"/>
      <x:c r="U23" s="30"/>
      <x:c r="V23" s="30" t="str">
        <x:v>海鲜过敏禁用。</x:v>
      </x:c>
      <x:c r="W23" s="30" t="str">
        <x:v>换鸡胸西兰花。</x:v>
      </x:c>
      <x:c r="X23" s="30" t="str">
        <x:v>["protein_support","regular_meal"]</x:v>
      </x:c>
      <x:c r="Y23" s="30" t="str">
        <x:v>DRAFT</x:v>
      </x:c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0"/>
      <x:c r="AJ23" s="30"/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0"/>
      <x:c r="AU23" s="30"/>
      <x:c r="AV23" s="30"/>
      <x:c r="AW23" s="30"/>
      <x:c r="AX23" s="30"/>
      <x:c r="AY23" s="30"/>
      <x:c r="AZ23" s="30"/>
    </x:row>
    <x:row r="24">
      <x:c r="A24" s="30" t="str">
        <x:v>P011</x:v>
      </x:c>
      <x:c r="B24" s="30" t="str">
        <x:v>鸡胸彩椒</x:v>
      </x:c>
      <x:c r="C24" s="30" t="str">
        <x:v>protein</x:v>
      </x:c>
      <x:c r="D24" s="30" t="str">
        <x:v>poultry</x:v>
      </x:c>
      <x:c r="E24" s="30" t="str">
        <x:v>鸡胸肉80g；彩椒150g；植物油5g</x:v>
      </x:c>
      <x:c r="F24" s="30" t="str">
        <x: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x:v>
      </x:c>
      <x:c r="G24" s="30" t="str">
        <x:v>鸡胸肉80g；彩椒150g；植物油5g</x:v>
      </x:c>
      <x:c r="H24" s="30" t="str">
        <x:v>[{"ingredient_name":"鸡胸肉","amount":80,"unit":"g","raw_or_cooked_basis":"unknown","source_basis_text":"鸡胸肉80g"},{"ingredient_name":"彩椒","amount":150,"unit":"g","raw_or_cooked_basis":"unknown","source_basis_text":"彩椒150g"},{"ingredient_name":"植物油","amount":5,"unit":"g","raw_or_cooked_basis":"unknown","source_basis_text":"植物油5g"}]</x:v>
      </x:c>
      <x:c r="I24" s="30" t="n">
        <x:v>190</x:v>
      </x:c>
      <x:c r="J24" s="30" t="n">
        <x:v>21.2</x:v>
      </x:c>
      <x:c r="K24" s="30" t="n">
        <x:v>9</x:v>
      </x:c>
      <x:c r="L24" s="30" t="n">
        <x:v>8</x:v>
      </x:c>
      <x:c r="M24" s="30" t="str">
        <x:v>[0.5,0.75,1,1.25,1.5]</x:v>
      </x:c>
      <x:c r="N24" s="30" t="str">
        <x:v>肺结节患者术前菜品与食谱组件库_V2.0_完整版_MDT审阅_AI调用版.docx</x:v>
      </x:c>
      <x:c r="O24" s="30" t="n">
        <x:v>9</x:v>
      </x:c>
      <x:c r="P24" s="30"/>
      <x:c r="Q24" s="30"/>
      <x:c r="R24" s="30"/>
      <x:c r="S24" s="30"/>
      <x:c r="T24" s="30"/>
      <x:c r="U24" s="30"/>
      <x:c r="V24" s="30" t="str">
        <x:v>无特殊。</x:v>
      </x:c>
      <x:c r="W24" s="30" t="str">
        <x:v>鸡胸可换里脊/豆腐。</x:v>
      </x:c>
      <x:c r="X24" s="30" t="str">
        <x:v>["protein_support","regular_meal"]</x:v>
      </x:c>
      <x:c r="Y24" s="30" t="str">
        <x:v>DRAFT</x:v>
      </x:c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</x:row>
    <x:row r="25">
      <x:c r="A25" s="30" t="str">
        <x:v>P012</x:v>
      </x:c>
      <x:c r="B25" s="30" t="str">
        <x:v>牛肉西葫芦</x:v>
      </x:c>
      <x:c r="C25" s="30" t="str">
        <x:v>protein</x:v>
      </x:c>
      <x:c r="D25" s="30" t="str">
        <x:v>lean_meat</x:v>
      </x:c>
      <x:c r="E25" s="30" t="str">
        <x:v>瘦牛肉80g；西葫芦150g；植物油5g</x:v>
      </x:c>
      <x:c r="F25" s="30" t="str">
        <x: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x:v>
      </x:c>
      <x:c r="G25" s="30" t="str">
        <x:v>瘦牛肉80g；西葫芦150g；植物油5g</x:v>
      </x:c>
      <x:c r="H25" s="30" t="str">
        <x:v>[{"ingredient_name":"瘦牛肉","amount":80,"unit":"g","raw_or_cooked_basis":"unknown","source_basis_text":"瘦牛肉80g"},{"ingredient_name":"西葫芦","amount":150,"unit":"g","raw_or_cooked_basis":"unknown","source_basis_text":"西葫芦150g"},{"ingredient_name":"植物油","amount":5,"unit":"g","raw_or_cooked_basis":"unknown","source_basis_text":"植物油5g"}]</x:v>
      </x:c>
      <x:c r="I25" s="30" t="n">
        <x:v>174</x:v>
      </x:c>
      <x:c r="J25" s="30" t="n">
        <x:v>17.4</x:v>
      </x:c>
      <x:c r="K25" s="30" t="n">
        <x:v>5.7</x:v>
      </x:c>
      <x:c r="L25" s="30" t="n">
        <x:v>8.7</x:v>
      </x:c>
      <x:c r="M25" s="30" t="str">
        <x:v>[0.5,0.75,1,1.25,1.5]</x:v>
      </x:c>
      <x:c r="N25" s="30" t="str">
        <x:v>肺结节患者术前菜品与食谱组件库_V2.0_完整版_MDT审阅_AI调用版.docx</x:v>
      </x:c>
      <x:c r="O25" s="30" t="n">
        <x:v>9</x:v>
      </x:c>
      <x:c r="P25" s="30"/>
      <x:c r="Q25" s="30"/>
      <x:c r="R25" s="30"/>
      <x:c r="S25" s="30"/>
      <x:c r="T25" s="30"/>
      <x:c r="U25" s="30"/>
      <x:c r="V25" s="30" t="str">
        <x:v>高尿酸者按个体规则。</x:v>
      </x:c>
      <x:c r="W25" s="30" t="str">
        <x:v>换鸡肉/豆腐。</x:v>
      </x:c>
      <x:c r="X25" s="30" t="str">
        <x:v>["protein_support","regular_meal"]</x:v>
      </x:c>
      <x:c r="Y25" s="30" t="str">
        <x:v>DRAFT</x:v>
      </x:c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</x:row>
    <x:row r="26">
      <x:c r="A26" s="30" t="str">
        <x:v>P013</x:v>
      </x:c>
      <x:c r="B26" s="30" t="str">
        <x:v>冬瓜豆腐虾仁汤</x:v>
      </x:c>
      <x:c r="C26" s="30" t="str">
        <x:v>protein</x:v>
      </x:c>
      <x:c r="D26" s="30" t="str">
        <x:v>fish</x:v>
      </x:c>
      <x:c r="E26" s="30" t="str">
        <x:v>虾仁50g；北豆腐100g；冬瓜200g；植物油2g</x:v>
      </x:c>
      <x:c r="F26" s="30" t="str">
        <x: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x:v>
      </x:c>
      <x:c r="G26" s="30" t="str">
        <x:v>虾仁50g；北豆腐100g；冬瓜200g；植物油2g</x:v>
      </x:c>
      <x:c r="H26" s="30" t="str">
        <x:v>[{"ingredient_name":"虾仁","amount":50,"unit":"g","raw_or_cooked_basis":"unknown","source_basis_text":"虾仁50g"},{"ingredient_name":"北豆腐","amount":100,"unit":"g","raw_or_cooked_basis":"unknown","source_basis_text":"北豆腐100g"},{"ingredient_name":"冬瓜","amount":200,"unit":"g","raw_or_cooked_basis":"unknown","source_basis_text":"冬瓜200g"},{"ingredient_name":"植物油","amount":2,"unit":"g","raw_or_cooked_basis":"unknown","source_basis_text":"植物油2g"}]</x:v>
      </x:c>
      <x:c r="I26" s="30" t="n">
        <x:v>208</x:v>
      </x:c>
      <x:c r="J26" s="30" t="n">
        <x:v>23.2</x:v>
      </x:c>
      <x:c r="K26" s="30" t="n">
        <x:v>8.3</x:v>
      </x:c>
      <x:c r="L26" s="30" t="n">
        <x:v>9.8</x:v>
      </x:c>
      <x:c r="M26" s="30" t="str">
        <x:v>[0.5,0.75,1,1.25,1.5]</x:v>
      </x:c>
      <x:c r="N26" s="30" t="str">
        <x:v>肺结节患者术前菜品与食谱组件库_V2.0_完整版_MDT审阅_AI调用版.docx</x:v>
      </x:c>
      <x:c r="O26" s="30" t="n">
        <x:v>9</x:v>
      </x:c>
      <x:c r="P26" s="30"/>
      <x:c r="Q26" s="30"/>
      <x:c r="R26" s="30"/>
      <x:c r="S26" s="30"/>
      <x:c r="T26" s="30"/>
      <x:c r="U26" s="30"/>
      <x:c r="V26" s="30" t="str">
        <x:v>海鲜过敏者去虾仁并增加豆腐/鸡蛋。</x:v>
      </x:c>
      <x:c r="W26" s="30" t="str">
        <x:v>换豆腐蛋花汤。</x:v>
      </x:c>
      <x:c r="X26" s="30" t="str">
        <x:v>["protein_support","regular_meal"]</x:v>
      </x:c>
      <x:c r="Y26" s="30" t="str">
        <x:v>DRAFT</x:v>
      </x:c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</x:row>
    <x:row r="27">
      <x:c r="A27" s="30" t="str">
        <x:v>P014</x:v>
      </x:c>
      <x:c r="B27" s="30" t="str">
        <x:v>鸡蛋豆腐羹</x:v>
      </x:c>
      <x:c r="C27" s="30" t="str">
        <x:v>protein</x:v>
      </x:c>
      <x:c r="D27" s="30" t="str">
        <x:v>egg</x:v>
      </x:c>
      <x:c r="E27" s="30" t="str">
        <x:v>鸡蛋50g；北豆腐100g；植物油2g</x:v>
      </x:c>
      <x:c r="F27" s="30" t="str">
        <x: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x:v>
      </x:c>
      <x:c r="G27" s="30" t="str">
        <x:v>鸡蛋50g；北豆腐100g；植物油2g</x:v>
      </x:c>
      <x:c r="H27" s="30" t="str">
        <x:v>[{"ingredient_name":"鸡蛋","amount":50,"unit":"g","raw_or_cooked_basis":"unknown","source_basis_text":"鸡蛋50g"},{"ingredient_name":"北豆腐","amount":100,"unit":"g","raw_or_cooked_basis":"unknown","source_basis_text":"北豆腐100g"},{"ingredient_name":"植物油","amount":2,"unit":"g","raw_or_cooked_basis":"unknown","source_basis_text":"植物油2g"}]</x:v>
      </x:c>
      <x:c r="I27" s="30" t="n">
        <x:v>206</x:v>
      </x:c>
      <x:c r="J27" s="30" t="n">
        <x:v>18.9</x:v>
      </x:c>
      <x:c r="K27" s="30" t="n">
        <x:v>4.4</x:v>
      </x:c>
      <x:c r="L27" s="30" t="n">
        <x:v>12.9</x:v>
      </x:c>
      <x:c r="M27" s="30" t="str">
        <x:v>[0.5,0.75,1,1.25,1.5]</x:v>
      </x:c>
      <x:c r="N27" s="30" t="str">
        <x:v>肺结节患者术前菜品与食谱组件库_V2.0_完整版_MDT审阅_AI调用版.docx</x:v>
      </x:c>
      <x:c r="O27" s="30" t="n">
        <x:v>9</x:v>
      </x:c>
      <x:c r="P27" s="30"/>
      <x:c r="Q27" s="30"/>
      <x:c r="R27" s="30"/>
      <x:c r="S27" s="30"/>
      <x:c r="T27" s="30"/>
      <x:c r="U27" s="30"/>
      <x:c r="V27" s="30" t="str">
        <x:v>肾功能限制者按蛋白计划。</x:v>
      </x:c>
      <x:c r="W27" s="30" t="str">
        <x:v>换虾仁蒸蛋。</x:v>
      </x:c>
      <x:c r="X27" s="30" t="str">
        <x:v>["protein_support","regular_meal"]</x:v>
      </x:c>
      <x:c r="Y27" s="30" t="str">
        <x:v>DRAFT</x:v>
      </x:c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0"/>
      <x:c r="AU27" s="30"/>
      <x:c r="AV27" s="30"/>
      <x:c r="AW27" s="30"/>
      <x:c r="AX27" s="30"/>
      <x:c r="AY27" s="30"/>
      <x:c r="AZ27" s="30"/>
    </x:row>
    <x:row r="28">
      <x:c r="A28" s="30" t="str">
        <x:v>P015</x:v>
      </x:c>
      <x:c r="B28" s="30" t="str">
        <x:v>低脂奶蛋组合</x:v>
      </x:c>
      <x:c r="C28" s="30" t="str">
        <x:v>protein</x:v>
      </x:c>
      <x:c r="D28" s="30" t="str">
        <x:v>egg</x:v>
      </x:c>
      <x:c r="E28" s="30" t="str">
        <x:v>低脂牛奶250ml；鸡蛋50g</x:v>
      </x:c>
      <x:c r="F28" s="30" t="str">
        <x:v>[{"ingredient_name":"低脂牛奶","amount":250,"unit":"ml","raw_or_cooked_basis":"unknown","source_basis_text":"低脂牛奶250ml"},{"ingredient_name":"鸡蛋","amount":50,"unit":"g","raw_or_cooked_basis":"unknown","source_basis_text":"鸡蛋50g"}]</x:v>
      </x:c>
      <x:c r="G28" s="30" t="str">
        <x:v>低脂牛奶250ml；鸡蛋50g</x:v>
      </x:c>
      <x:c r="H28" s="30" t="str">
        <x:v>[{"ingredient_name":"低脂牛奶","amount":250,"unit":"ml","raw_or_cooked_basis":"unknown","source_basis_text":"低脂牛奶250ml"},{"ingredient_name":"鸡蛋","amount":50,"unit":"g","raw_or_cooked_basis":"unknown","source_basis_text":"鸡蛋50g"}]</x:v>
      </x:c>
      <x:c r="I28" s="30" t="n">
        <x:v>187</x:v>
      </x:c>
      <x:c r="J28" s="30" t="n">
        <x:v>14.9</x:v>
      </x:c>
      <x:c r="K28" s="30" t="n">
        <x:v>13.4</x:v>
      </x:c>
      <x:c r="L28" s="30" t="n">
        <x:v>8.2</x:v>
      </x:c>
      <x:c r="M28" s="30" t="str">
        <x:v>[0.5,0.75,1,1.25,1.5]</x:v>
      </x:c>
      <x:c r="N28" s="30" t="str">
        <x:v>肺结节患者术前菜品与食谱组件库_V2.0_完整版_MDT审阅_AI调用版.docx</x:v>
      </x:c>
      <x:c r="O28" s="30" t="n">
        <x:v>9</x:v>
      </x:c>
      <x:c r="P28" s="30"/>
      <x:c r="Q28" s="30"/>
      <x:c r="R28" s="30"/>
      <x:c r="S28" s="30"/>
      <x:c r="T28" s="30"/>
      <x:c r="U28" s="30"/>
      <x:c r="V28" s="30" t="str">
        <x:v>乳糖不耐受者用无乳糖奶/无糖豆浆。</x:v>
      </x:c>
      <x:c r="W28" s="30" t="str">
        <x:v>牛奶换无糖豆浆。</x:v>
      </x:c>
      <x:c r="X28" s="30" t="str">
        <x:v>["protein_support","regular_meal"]</x:v>
      </x:c>
      <x:c r="Y28" s="30" t="str">
        <x:v>DRAFT</x:v>
      </x:c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0"/>
      <x:c r="AU28" s="30"/>
      <x:c r="AV28" s="30"/>
      <x:c r="AW28" s="30"/>
      <x:c r="AX28" s="30"/>
      <x:c r="AY28" s="30"/>
      <x:c r="AZ28" s="30"/>
    </x:row>
    <x:row r="29">
      <x:c r="A29" s="30" t="str">
        <x:v>V001</x:v>
      </x:c>
      <x:c r="B29" s="30" t="str">
        <x:v>蒜香西兰花</x:v>
      </x:c>
      <x:c r="C29" s="30" t="str">
        <x:v>vegetable</x:v>
      </x:c>
      <x:c r="D29" s="30" t="str">
        <x:v>unknown</x:v>
      </x:c>
      <x:c r="E29" s="30" t="str">
        <x:v>西兰花200g；植物油5g</x:v>
      </x:c>
      <x:c r="F29" s="30" t="str">
        <x:v>[{"ingredient_name":"西兰花","amount":200,"unit":"g","raw_or_cooked_basis":"unknown","source_basis_text":"西兰花200g"},{"ingredient_name":"植物油","amount":5,"unit":"g","raw_or_cooked_basis":"unknown","source_basis_text":"植物油5g"}]</x:v>
      </x:c>
      <x:c r="G29" s="30" t="str">
        <x:v>西兰花200g；植物油5g</x:v>
      </x:c>
      <x:c r="H29" s="30" t="str">
        <x:v>[{"ingredient_name":"西兰花","amount":200,"unit":"g","raw_or_cooked_basis":"unknown","source_basis_text":"西兰花200g"},{"ingredient_name":"植物油","amount":5,"unit":"g","raw_or_cooked_basis":"unknown","source_basis_text":"植物油5g"}]</x:v>
      </x:c>
      <x:c r="I29" s="30" t="n">
        <x:v>117</x:v>
      </x:c>
      <x:c r="J29" s="30" t="n">
        <x:v>8.2</x:v>
      </x:c>
      <x:c r="K29" s="30" t="n">
        <x:v>8.6</x:v>
      </x:c>
      <x:c r="L29" s="30" t="n">
        <x:v>6.2</x:v>
      </x:c>
      <x:c r="M29" s="30" t="str">
        <x:v>[0.5,0.75,1,1.25,1.5]</x:v>
      </x:c>
      <x:c r="N29" s="30" t="str">
        <x:v>肺结节患者术前菜品与食谱组件库_V2.0_完整版_MDT审阅_AI调用版.docx</x:v>
      </x:c>
      <x:c r="O29" s="30" t="n">
        <x:v>10</x:v>
      </x:c>
      <x:c r="P29" s="30"/>
      <x:c r="Q29" s="30"/>
      <x:c r="R29" s="30"/>
      <x:c r="S29" s="30"/>
      <x:c r="T29" s="30"/>
      <x:c r="U29" s="30"/>
      <x:c r="V29" s="30" t="str">
        <x:v>无特殊。</x:v>
      </x:c>
      <x:c r="W29" s="30" t="str">
        <x:v>换油麦菜/菠菜。</x:v>
      </x:c>
      <x:c r="X29" s="30" t="str">
        <x:v>["protein_support","regular_meal"]</x:v>
      </x:c>
      <x:c r="Y29" s="30" t="str">
        <x:v>DRAFT</x:v>
      </x:c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0"/>
      <x:c r="AJ29" s="30"/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0"/>
      <x:c r="AU29" s="30"/>
      <x:c r="AV29" s="30"/>
      <x:c r="AW29" s="30"/>
      <x:c r="AX29" s="30"/>
      <x:c r="AY29" s="30"/>
      <x:c r="AZ29" s="30"/>
    </x:row>
    <x:row r="30">
      <x:c r="A30" s="30" t="str">
        <x:v>V002</x:v>
      </x:c>
      <x:c r="B30" s="30" t="str">
        <x:v>清炒菠菜</x:v>
      </x:c>
      <x:c r="C30" s="30" t="str">
        <x:v>vegetable</x:v>
      </x:c>
      <x:c r="D30" s="30" t="str">
        <x:v>unknown</x:v>
      </x:c>
      <x:c r="E30" s="30" t="str">
        <x:v>菠菜200g；植物油5g</x:v>
      </x:c>
      <x:c r="F30" s="30" t="str">
        <x:v>[{"ingredient_name":"菠菜","amount":200,"unit":"g","raw_or_cooked_basis":"unknown","source_basis_text":"菠菜200g"},{"ingredient_name":"植物油","amount":5,"unit":"g","raw_or_cooked_basis":"unknown","source_basis_text":"植物油5g"}]</x:v>
      </x:c>
      <x:c r="G30" s="30" t="str">
        <x:v>菠菜200g；植物油5g</x:v>
      </x:c>
      <x:c r="H30" s="30" t="str">
        <x:v>[{"ingredient_name":"菠菜","amount":200,"unit":"g","raw_or_cooked_basis":"unknown","source_basis_text":"菠菜200g"},{"ingredient_name":"植物油","amount":5,"unit":"g","raw_or_cooked_basis":"unknown","source_basis_text":"植物油5g"}]</x:v>
      </x:c>
      <x:c r="I30" s="30" t="n">
        <x:v>101</x:v>
      </x:c>
      <x:c r="J30" s="30" t="n">
        <x:v>5.2</x:v>
      </x:c>
      <x:c r="K30" s="30" t="n">
        <x:v>9</x:v>
      </x:c>
      <x:c r="L30" s="30" t="n">
        <x:v>5.6</x:v>
      </x:c>
      <x:c r="M30" s="30" t="str">
        <x:v>[0.5,0.75,1,1.25,1.5]</x:v>
      </x:c>
      <x:c r="N30" s="30" t="str">
        <x:v>肺结节患者术前菜品与食谱组件库_V2.0_完整版_MDT审阅_AI调用版.docx</x:v>
      </x:c>
      <x:c r="O30" s="30" t="n">
        <x:v>10</x:v>
      </x:c>
      <x:c r="P30" s="30"/>
      <x:c r="Q30" s="30"/>
      <x:c r="R30" s="30"/>
      <x:c r="S30" s="30"/>
      <x:c r="T30" s="30"/>
      <x:c r="U30" s="30"/>
      <x:c r="V30" s="30" t="str">
        <x:v>特定草酸/肾病管理按医护意见。</x:v>
      </x:c>
      <x:c r="W30" s="30" t="str">
        <x:v>换油麦菜。</x:v>
      </x:c>
      <x:c r="X30" s="30" t="str">
        <x:v>["regular_meal"]</x:v>
      </x:c>
      <x:c r="Y30" s="30" t="str">
        <x:v>DRAFT</x:v>
      </x:c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0"/>
      <x:c r="AU30" s="30"/>
      <x:c r="AV30" s="30"/>
      <x:c r="AW30" s="30"/>
      <x:c r="AX30" s="30"/>
      <x:c r="AY30" s="30"/>
      <x:c r="AZ30" s="30"/>
    </x:row>
    <x:row r="31">
      <x:c r="A31" s="30" t="str">
        <x:v>V003</x:v>
      </x:c>
      <x:c r="B31" s="30" t="str">
        <x:v>香菇油麦菜</x:v>
      </x:c>
      <x:c r="C31" s="30" t="str">
        <x:v>vegetable</x:v>
      </x:c>
      <x:c r="D31" s="30" t="str">
        <x:v>unknown</x:v>
      </x:c>
      <x:c r="E31" s="30" t="str">
        <x:v>油麦菜180g；香菇鲜80g；植物油5g</x:v>
      </x:c>
      <x:c r="F31" s="30" t="str">
        <x: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G31" s="30" t="str">
        <x:v>油麦菜180g；香菇鲜80g；植物油5g</x:v>
      </x:c>
      <x:c r="H31" s="30" t="str">
        <x:v>[{"ingredient_name":"油麦菜","amount":180,"unit":"g","raw_or_cooked_basis":"unknown","source_basis_text":"油麦菜180g"},{"ingredient_name":"香菇鲜","amount":80,"unit":"g","raw_or_cooked_basis":"unknown","source_basis_text":"香菇鲜80g"},{"ingredient_name":"植物油","amount":5,"unit":"g","raw_or_cooked_basis":"unknown","source_basis_text":"植物油5g"}]</x:v>
      </x:c>
      <x:c r="I31" s="30" t="n">
        <x:v>93</x:v>
      </x:c>
      <x:c r="J31" s="30" t="n">
        <x:v>4.3</x:v>
      </x:c>
      <x:c r="K31" s="30" t="n">
        <x:v>7.9</x:v>
      </x:c>
      <x:c r="L31" s="30" t="n">
        <x:v>6</x:v>
      </x:c>
      <x:c r="M31" s="30" t="str">
        <x:v>[0.5,0.75,1,1.25,1.5]</x:v>
      </x:c>
      <x:c r="N31" s="30" t="str">
        <x:v>肺结节患者术前菜品与食谱组件库_V2.0_完整版_MDT审阅_AI调用版.docx</x:v>
      </x:c>
      <x:c r="O31" s="30" t="n">
        <x:v>10</x:v>
      </x:c>
      <x:c r="P31" s="30"/>
      <x:c r="Q31" s="30"/>
      <x:c r="R31" s="30"/>
      <x:c r="S31" s="30"/>
      <x:c r="T31" s="30"/>
      <x:c r="U31" s="30"/>
      <x:c r="V31" s="30" t="str">
        <x:v>无特殊。</x:v>
      </x:c>
      <x:c r="W31" s="30" t="str">
        <x:v>换圆白菜/西兰花。</x:v>
      </x:c>
      <x:c r="X31" s="30" t="str">
        <x:v>["regular_meal"]</x:v>
      </x:c>
      <x:c r="Y31" s="30" t="str">
        <x:v>DRAFT</x:v>
      </x:c>
      <x:c r="Z31" s="30"/>
      <x:c r="AA31" s="30"/>
      <x:c r="AB31" s="30"/>
      <x:c r="AC31" s="30"/>
      <x:c r="AD31" s="30"/>
      <x:c r="AE31" s="30"/>
      <x:c r="AF31" s="30"/>
      <x:c r="AG31" s="30"/>
      <x:c r="AH31" s="30"/>
      <x:c r="AI31" s="30"/>
      <x:c r="AJ31" s="30"/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0"/>
      <x:c r="AU31" s="30"/>
      <x:c r="AV31" s="30"/>
      <x:c r="AW31" s="30"/>
      <x:c r="AX31" s="30"/>
      <x:c r="AY31" s="30"/>
      <x:c r="AZ31" s="30"/>
    </x:row>
    <x:row r="32">
      <x:c r="A32" s="30" t="str">
        <x:v>V004</x:v>
      </x:c>
      <x:c r="B32" s="30" t="str">
        <x:v>清炒圆白菜</x:v>
      </x:c>
      <x:c r="C32" s="30" t="str">
        <x:v>vegetable</x:v>
      </x:c>
      <x:c r="D32" s="30" t="str">
        <x:v>unknown</x:v>
      </x:c>
      <x:c r="E32" s="30" t="str">
        <x:v>圆白菜200g；植物油5g</x:v>
      </x:c>
      <x:c r="F32" s="30" t="str">
        <x:v>[{"ingredient_name":"圆白菜","amount":200,"unit":"g","raw_or_cooked_basis":"unknown","source_basis_text":"圆白菜200g"},{"ingredient_name":"植物油","amount":5,"unit":"g","raw_or_cooked_basis":"unknown","source_basis_text":"植物油5g"}]</x:v>
      </x:c>
      <x:c r="G32" s="30" t="str">
        <x:v>圆白菜200g；植物油5g</x:v>
      </x:c>
      <x:c r="H32" s="30" t="str">
        <x:v>[{"ingredient_name":"圆白菜","amount":200,"unit":"g","raw_or_cooked_basis":"unknown","source_basis_text":"圆白菜200g"},{"ingredient_name":"植物油","amount":5,"unit":"g","raw_or_cooked_basis":"unknown","source_basis_text":"植物油5g"}]</x:v>
      </x:c>
      <x:c r="I32" s="30" t="n">
        <x:v>93</x:v>
      </x:c>
      <x:c r="J32" s="30" t="n">
        <x:v>3</x:v>
      </x:c>
      <x:c r="K32" s="30" t="n">
        <x:v>9.2</x:v>
      </x:c>
      <x:c r="L32" s="30" t="n">
        <x:v>5.4</x:v>
      </x:c>
      <x:c r="M32" s="30" t="str">
        <x:v>[0.5,0.75,1,1.25,1.5]</x:v>
      </x:c>
      <x:c r="N32" s="30" t="str">
        <x:v>肺结节患者术前菜品与食谱组件库_V2.0_完整版_MDT审阅_AI调用版.docx</x:v>
      </x:c>
      <x:c r="O32" s="30" t="n">
        <x:v>10</x:v>
      </x:c>
      <x:c r="P32" s="30"/>
      <x:c r="Q32" s="30"/>
      <x:c r="R32" s="30"/>
      <x:c r="S32" s="30"/>
      <x:c r="T32" s="30"/>
      <x:c r="U32" s="30"/>
      <x:c r="V32" s="30" t="str">
        <x:v>无特殊。</x:v>
      </x:c>
      <x:c r="W32" s="30" t="str">
        <x:v>换油麦菜。</x:v>
      </x:c>
      <x:c r="X32" s="30" t="str">
        <x:v>["regular_meal"]</x:v>
      </x:c>
      <x:c r="Y32" s="30" t="str">
        <x:v>DRAFT</x:v>
      </x:c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0"/>
      <x:c r="AU32" s="30"/>
      <x:c r="AV32" s="30"/>
      <x:c r="AW32" s="30"/>
      <x:c r="AX32" s="30"/>
      <x:c r="AY32" s="30"/>
      <x:c r="AZ32" s="30"/>
    </x:row>
    <x:row r="33">
      <x:c r="A33" s="30" t="str">
        <x:v>V005</x:v>
      </x:c>
      <x:c r="B33" s="30" t="str">
        <x:v>芹菜木耳</x:v>
      </x:c>
      <x:c r="C33" s="30" t="str">
        <x:v>vegetable</x:v>
      </x:c>
      <x:c r="D33" s="30" t="str">
        <x:v>unknown</x:v>
      </x:c>
      <x:c r="E33" s="30" t="str">
        <x:v>芹菜150g；木耳鲜80g；植物油5g</x:v>
      </x:c>
      <x:c r="F33" s="30" t="str">
        <x: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x:v>
      </x:c>
      <x:c r="G33" s="30" t="str">
        <x:v>芹菜150g；木耳鲜80g；植物油5g</x:v>
      </x:c>
      <x:c r="H33" s="30" t="str">
        <x:v>[{"ingredient_name":"芹菜","amount":150,"unit":"g","raw_or_cooked_basis":"unknown","source_basis_text":"芹菜150g"},{"ingredient_name":"木耳鲜","amount":80,"unit":"g","raw_or_cooked_basis":"unknown","source_basis_text":"木耳鲜80g"},{"ingredient_name":"植物油","amount":5,"unit":"g","raw_or_cooked_basis":"unknown","source_basis_text":"植物油5g"}]</x:v>
      </x:c>
      <x:c r="I33" s="30" t="n">
        <x:v>92</x:v>
      </x:c>
      <x:c r="J33" s="30" t="n">
        <x:v>2.4</x:v>
      </x:c>
      <x:c r="K33" s="30" t="n">
        <x:v>10.7</x:v>
      </x:c>
      <x:c r="L33" s="30" t="n">
        <x:v>5.3</x:v>
      </x:c>
      <x:c r="M33" s="30" t="str">
        <x:v>[0.5,0.75,1,1.25,1.5]</x:v>
      </x:c>
      <x:c r="N33" s="30" t="str">
        <x:v>肺结节患者术前菜品与食谱组件库_V2.0_完整版_MDT审阅_AI调用版.docx</x:v>
      </x:c>
      <x:c r="O33" s="30" t="n">
        <x:v>10</x:v>
      </x:c>
      <x:c r="P33" s="30"/>
      <x:c r="Q33" s="30"/>
      <x:c r="R33" s="30"/>
      <x:c r="S33" s="30"/>
      <x:c r="T33" s="30"/>
      <x:c r="U33" s="30"/>
      <x:c r="V33" s="30" t="str">
        <x:v>吞咽/咀嚼差者切细煮软。</x:v>
      </x:c>
      <x:c r="W33" s="30" t="str">
        <x:v>换西兰花。</x:v>
      </x:c>
      <x:c r="X33" s="30" t="str">
        <x:v>["regular_meal"]</x:v>
      </x:c>
      <x:c r="Y33" s="30" t="str">
        <x:v>DRAFT</x:v>
      </x:c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0"/>
      <x:c r="AU33" s="30"/>
      <x:c r="AV33" s="30"/>
      <x:c r="AW33" s="30"/>
      <x:c r="AX33" s="30"/>
      <x:c r="AY33" s="30"/>
      <x:c r="AZ33" s="30"/>
    </x:row>
    <x:row r="34">
      <x:c r="A34" s="30" t="str">
        <x:v>V006</x:v>
      </x:c>
      <x:c r="B34" s="30" t="str">
        <x:v>番茄黄瓜双拼</x:v>
      </x:c>
      <x:c r="C34" s="30" t="str">
        <x:v>vegetable</x:v>
      </x:c>
      <x:c r="D34" s="30" t="str">
        <x:v>unknown</x:v>
      </x:c>
      <x:c r="E34" s="30" t="str">
        <x:v>番茄150g；黄瓜150g；植物油3g</x:v>
      </x:c>
      <x:c r="F34" s="30" t="str">
        <x: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x:v>
      </x:c>
      <x:c r="G34" s="30" t="str">
        <x:v>番茄150g；黄瓜150g；植物油3g</x:v>
      </x:c>
      <x:c r="H34" s="30" t="str">
        <x:v>[{"ingredient_name":"番茄","amount":150,"unit":"g","raw_or_cooked_basis":"unknown","source_basis_text":"番茄150g"},{"ingredient_name":"黄瓜","amount":150,"unit":"g","raw_or_cooked_basis":"unknown","source_basis_text":"黄瓜150g"},{"ingredient_name":"植物油","amount":3,"unit":"g","raw_or_cooked_basis":"unknown","source_basis_text":"植物油3g"}]</x:v>
      </x:c>
      <x:c r="I34" s="30" t="n">
        <x:v>81</x:v>
      </x:c>
      <x:c r="J34" s="30" t="n">
        <x:v>2.6</x:v>
      </x:c>
      <x:c r="K34" s="30" t="n">
        <x:v>10.5</x:v>
      </x:c>
      <x:c r="L34" s="30" t="n">
        <x:v>3.6</x:v>
      </x:c>
      <x:c r="M34" s="30" t="str">
        <x:v>[0.5,0.75,1,1.25,1.5]</x:v>
      </x:c>
      <x:c r="N34" s="30" t="str">
        <x:v>肺结节患者术前菜品与食谱组件库_V2.0_完整版_MDT审阅_AI调用版.docx</x:v>
      </x:c>
      <x:c r="O34" s="30" t="n">
        <x:v>10</x:v>
      </x:c>
      <x:c r="P34" s="30"/>
      <x:c r="Q34" s="30"/>
      <x:c r="R34" s="30"/>
      <x:c r="S34" s="30"/>
      <x:c r="T34" s="30"/>
      <x:c r="U34" s="30"/>
      <x:c r="V34" s="30" t="str">
        <x:v>胃肠敏感/免疫低下时注意食品卫生或改熟食。</x:v>
      </x:c>
      <x:c r="W34" s="30" t="str">
        <x:v>换熟制蔬菜。</x:v>
      </x:c>
      <x:c r="X34" s="30" t="str">
        <x:v>["regular_meal"]</x:v>
      </x:c>
      <x:c r="Y34" s="30" t="str">
        <x:v>DRAFT</x:v>
      </x:c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0"/>
      <x:c r="AJ34" s="30"/>
      <x:c r="AK34" s="30"/>
      <x:c r="AL34" s="30"/>
      <x:c r="AM34" s="30"/>
      <x:c r="AN34" s="30"/>
      <x:c r="AO34" s="30"/>
      <x:c r="AP34" s="30"/>
      <x:c r="AQ34" s="30"/>
      <x:c r="AR34" s="30"/>
      <x:c r="AS34" s="30"/>
      <x:c r="AT34" s="30"/>
      <x:c r="AU34" s="30"/>
      <x:c r="AV34" s="30"/>
      <x:c r="AW34" s="30"/>
      <x:c r="AX34" s="30"/>
      <x:c r="AY34" s="30"/>
      <x:c r="AZ34" s="30"/>
    </x:row>
    <x:row r="35">
      <x:c r="A35" s="30" t="str">
        <x:v>V007</x:v>
      </x:c>
      <x:c r="B35" s="30" t="str">
        <x:v>彩椒杏鲍菇</x:v>
      </x:c>
      <x:c r="C35" s="30" t="str">
        <x:v>vegetable</x:v>
      </x:c>
      <x:c r="D35" s="30" t="str">
        <x:v>unknown</x:v>
      </x:c>
      <x:c r="E35" s="30" t="str">
        <x:v>彩椒100g；杏鲍菇150g；植物油5g</x:v>
      </x:c>
      <x:c r="F35" s="30" t="str">
        <x: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x:v>
      </x:c>
      <x:c r="G35" s="30" t="str">
        <x:v>彩椒100g；杏鲍菇150g；植物油5g</x:v>
      </x:c>
      <x:c r="H35" s="30" t="str">
        <x:v>[{"ingredient_name":"彩椒","amount":100,"unit":"g","raw_or_cooked_basis":"unknown","source_basis_text":"彩椒100g"},{"ingredient_name":"杏鲍菇","amount":150,"unit":"g","raw_or_cooked_basis":"unknown","source_basis_text":"杏鲍菇150g"},{"ingredient_name":"植物油","amount":5,"unit":"g","raw_or_cooked_basis":"unknown","source_basis_text":"植物油5g"}]</x:v>
      </x:c>
      <x:c r="I35" s="30" t="n">
        <x:v>124</x:v>
      </x:c>
      <x:c r="J35" s="30" t="n">
        <x:v>3</x:v>
      </x:c>
      <x:c r="K35" s="30" t="n">
        <x:v>18.5</x:v>
      </x:c>
      <x:c r="L35" s="30" t="n">
        <x:v>5.3</x:v>
      </x:c>
      <x:c r="M35" s="30" t="str">
        <x:v>[0.5,0.75,1,1.25,1.5]</x:v>
      </x:c>
      <x:c r="N35" s="30" t="str">
        <x:v>肺结节患者术前菜品与食谱组件库_V2.0_完整版_MDT审阅_AI调用版.docx</x:v>
      </x:c>
      <x:c r="O35" s="30" t="n">
        <x:v>10</x:v>
      </x:c>
      <x:c r="P35" s="30"/>
      <x:c r="Q35" s="30"/>
      <x:c r="R35" s="30"/>
      <x:c r="S35" s="30"/>
      <x:c r="T35" s="30"/>
      <x:c r="U35" s="30"/>
      <x:c r="V35" s="30" t="str">
        <x:v>无特殊。</x:v>
      </x:c>
      <x:c r="W35" s="30" t="str">
        <x:v>换香菇青菜。</x:v>
      </x:c>
      <x:c r="X35" s="30" t="str">
        <x:v>["regular_meal"]</x:v>
      </x:c>
      <x:c r="Y35" s="30" t="str">
        <x:v>DRAFT</x:v>
      </x:c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0"/>
      <x:c r="AU35" s="30"/>
      <x:c r="AV35" s="30"/>
      <x:c r="AW35" s="30"/>
      <x:c r="AX35" s="30"/>
      <x:c r="AY35" s="30"/>
      <x:c r="AZ35" s="30"/>
    </x:row>
    <x:row r="36">
      <x:c r="A36" s="30" t="str">
        <x:v>V008</x:v>
      </x:c>
      <x:c r="B36" s="30" t="str">
        <x:v>胡萝卜西葫芦</x:v>
      </x:c>
      <x:c r="C36" s="30" t="str">
        <x:v>vegetable</x:v>
      </x:c>
      <x:c r="D36" s="30" t="str">
        <x:v>unknown</x:v>
      </x:c>
      <x:c r="E36" s="30" t="str">
        <x:v>胡萝卜80g；西葫芦180g；植物油5g</x:v>
      </x:c>
      <x:c r="F36" s="30" t="str">
        <x: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x:v>
      </x:c>
      <x:c r="G36" s="30" t="str">
        <x:v>胡萝卜80g；西葫芦180g；植物油5g</x:v>
      </x:c>
      <x:c r="H36" s="30" t="str">
        <x:v>[{"ingredient_name":"胡萝卜","amount":80,"unit":"g","raw_or_cooked_basis":"unknown","source_basis_text":"胡萝卜80g"},{"ingredient_name":"西葫芦","amount":180,"unit":"g","raw_or_cooked_basis":"unknown","source_basis_text":"西葫芦180g"},{"ingredient_name":"植物油","amount":5,"unit":"g","raw_or_cooked_basis":"unknown","source_basis_text":"植物油5g"}]</x:v>
      </x:c>
      <x:c r="I36" s="30" t="n">
        <x:v>110</x:v>
      </x:c>
      <x:c r="J36" s="30" t="n">
        <x:v>2.2</x:v>
      </x:c>
      <x:c r="K36" s="30" t="n">
        <x:v>13.9</x:v>
      </x:c>
      <x:c r="L36" s="30" t="n">
        <x:v>5.5</x:v>
      </x:c>
      <x:c r="M36" s="30" t="str">
        <x:v>[0.5,0.75,1,1.25,1.5]</x:v>
      </x:c>
      <x:c r="N36" s="30" t="str">
        <x:v>肺结节患者术前菜品与食谱组件库_V2.0_完整版_MDT审阅_AI调用版.docx</x:v>
      </x:c>
      <x:c r="O36" s="30" t="n">
        <x:v>10</x:v>
      </x:c>
      <x:c r="P36" s="30"/>
      <x:c r="Q36" s="30"/>
      <x:c r="R36" s="30"/>
      <x:c r="S36" s="30"/>
      <x:c r="T36" s="30"/>
      <x:c r="U36" s="30"/>
      <x:c r="V36" s="30" t="str">
        <x:v>无特殊。</x:v>
      </x:c>
      <x:c r="W36" s="30" t="str">
        <x:v>换冬瓜/圆白菜。</x:v>
      </x:c>
      <x:c r="X36" s="30" t="str">
        <x:v>["regular_meal"]</x:v>
      </x:c>
      <x:c r="Y36" s="30" t="str">
        <x:v>DRAFT</x:v>
      </x:c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0"/>
      <x:c r="AJ36" s="30"/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0"/>
      <x:c r="AU36" s="30"/>
      <x:c r="AV36" s="30"/>
      <x:c r="AW36" s="30"/>
      <x:c r="AX36" s="30"/>
      <x:c r="AY36" s="30"/>
      <x:c r="AZ36" s="30"/>
    </x:row>
    <x:row r="37">
      <x:c r="A37" s="30" t="str">
        <x:v>V009</x:v>
      </x:c>
      <x:c r="B37" s="30" t="str">
        <x:v>冬瓜香菇</x:v>
      </x:c>
      <x:c r="C37" s="30" t="str">
        <x:v>vegetable</x:v>
      </x:c>
      <x:c r="D37" s="30" t="str">
        <x:v>unknown</x:v>
      </x:c>
      <x:c r="E37" s="30" t="str">
        <x:v>冬瓜250g；香菇鲜60g；植物油4g</x:v>
      </x:c>
      <x:c r="F37" s="30" t="str">
        <x: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x:v>
      </x:c>
      <x:c r="G37" s="30" t="str">
        <x:v>冬瓜250g；香菇鲜60g；植物油4g</x:v>
      </x:c>
      <x:c r="H37" s="30" t="str">
        <x:v>[{"ingredient_name":"冬瓜","amount":250,"unit":"g","raw_or_cooked_basis":"unknown","source_basis_text":"冬瓜250g"},{"ingredient_name":"香菇鲜","amount":60,"unit":"g","raw_or_cooked_basis":"unknown","source_basis_text":"香菇鲜60g"},{"ingredient_name":"植物油","amount":4,"unit":"g","raw_or_cooked_basis":"unknown","source_basis_text":"植物油4g"}]</x:v>
      </x:c>
      <x:c r="I37" s="30" t="n">
        <x:v>82</x:v>
      </x:c>
      <x:c r="J37" s="30" t="n">
        <x:v>2.3</x:v>
      </x:c>
      <x:c r="K37" s="30" t="n">
        <x:v>9.6</x:v>
      </x:c>
      <x:c r="L37" s="30" t="n">
        <x:v>4.7</x:v>
      </x:c>
      <x:c r="M37" s="30" t="str">
        <x:v>[0.5,0.75,1,1.25,1.5]</x:v>
      </x:c>
      <x:c r="N37" s="30" t="str">
        <x:v>肺结节患者术前菜品与食谱组件库_V2.0_完整版_MDT审阅_AI调用版.docx</x:v>
      </x:c>
      <x:c r="O37" s="30" t="n">
        <x:v>10</x:v>
      </x:c>
      <x:c r="P37" s="30"/>
      <x:c r="Q37" s="30"/>
      <x:c r="R37" s="30"/>
      <x:c r="S37" s="30"/>
      <x:c r="T37" s="30"/>
      <x:c r="U37" s="30"/>
      <x:c r="V37" s="30" t="str">
        <x:v>无特殊。</x:v>
      </x:c>
      <x:c r="W37" s="30" t="str">
        <x:v>换西葫芦。</x:v>
      </x:c>
      <x:c r="X37" s="30" t="str">
        <x:v>["regular_meal"]</x:v>
      </x:c>
      <x:c r="Y37" s="30" t="str">
        <x:v>DRAFT</x:v>
      </x:c>
      <x:c r="Z37" s="30"/>
      <x:c r="AA37" s="30"/>
      <x:c r="AB37" s="30"/>
      <x:c r="AC37" s="30"/>
      <x:c r="AD37" s="30"/>
      <x:c r="AE37" s="30"/>
      <x:c r="AF37" s="30"/>
      <x:c r="AG37" s="30"/>
      <x:c r="AH37" s="30"/>
      <x:c r="AI37" s="30"/>
      <x:c r="AJ37" s="30"/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0"/>
      <x:c r="AU37" s="30"/>
      <x:c r="AV37" s="30"/>
      <x:c r="AW37" s="30"/>
      <x:c r="AX37" s="30"/>
      <x:c r="AY37" s="30"/>
      <x:c r="AZ37" s="30"/>
    </x:row>
    <x:row r="38">
      <x:c r="A38" s="30" t="str">
        <x:v>V010</x:v>
      </x:c>
      <x:c r="B38" s="30" t="str">
        <x:v>少油烧茄子</x:v>
      </x:c>
      <x:c r="C38" s="30" t="str">
        <x:v>vegetable</x:v>
      </x:c>
      <x:c r="D38" s="30" t="str">
        <x:v>unknown</x:v>
      </x:c>
      <x:c r="E38" s="30" t="str">
        <x:v>茄子200g；植物油6g</x:v>
      </x:c>
      <x:c r="F38" s="30" t="str">
        <x:v>[{"ingredient_name":"茄子","amount":200,"unit":"g","raw_or_cooked_basis":"unknown","source_basis_text":"茄子200g"},{"ingredient_name":"植物油","amount":6,"unit":"g","raw_or_cooked_basis":"unknown","source_basis_text":"植物油6g"}]</x:v>
      </x:c>
      <x:c r="G38" s="30" t="str">
        <x:v>茄子200g；植物油6g</x:v>
      </x:c>
      <x:c r="H38" s="30" t="str">
        <x:v>[{"ingredient_name":"茄子","amount":200,"unit":"g","raw_or_cooked_basis":"unknown","source_basis_text":"茄子200g"},{"ingredient_name":"植物油","amount":6,"unit":"g","raw_or_cooked_basis":"unknown","source_basis_text":"植物油6g"}]</x:v>
      </x:c>
      <x:c r="I38" s="30" t="n">
        <x:v>100</x:v>
      </x:c>
      <x:c r="J38" s="30" t="n">
        <x:v>2.2</x:v>
      </x:c>
      <x:c r="K38" s="30" t="n">
        <x:v>9.8</x:v>
      </x:c>
      <x:c r="L38" s="30" t="n">
        <x:v>6.4</x:v>
      </x:c>
      <x:c r="M38" s="30" t="str">
        <x:v>[0.5,0.75,1,1.25,1.5]</x:v>
      </x:c>
      <x:c r="N38" s="30" t="str">
        <x:v>肺结节患者术前菜品与食谱组件库_V2.0_完整版_MDT审阅_AI调用版.docx</x:v>
      </x:c>
      <x:c r="O38" s="30" t="n">
        <x:v>10</x:v>
      </x:c>
      <x:c r="P38" s="30"/>
      <x:c r="Q38" s="30"/>
      <x:c r="R38" s="30"/>
      <x:c r="S38" s="30"/>
      <x:c r="T38" s="30"/>
      <x:c r="U38" s="30"/>
      <x:c r="V38" s="30" t="str">
        <x:v>传统油炸烧茄子不作为默认。</x:v>
      </x:c>
      <x:c r="W38" s="30" t="str">
        <x:v>换圆白菜/西葫芦。</x:v>
      </x:c>
      <x:c r="X38" s="30" t="str">
        <x:v>["regular_meal"]</x:v>
      </x:c>
      <x:c r="Y38" s="30" t="str">
        <x:v>DRAFT</x:v>
      </x:c>
      <x:c r="Z38" s="30"/>
      <x:c r="AA38" s="30"/>
      <x:c r="AB38" s="30"/>
      <x:c r="AC38" s="30"/>
      <x:c r="AD38" s="30"/>
      <x:c r="AE38" s="30"/>
      <x:c r="AF38" s="30"/>
      <x:c r="AG38" s="30"/>
      <x:c r="AH38" s="30"/>
      <x:c r="AI38" s="30"/>
      <x:c r="AJ38" s="30"/>
      <x:c r="AK38" s="30"/>
      <x:c r="AL38" s="30"/>
      <x:c r="AM38" s="30"/>
      <x:c r="AN38" s="30"/>
      <x:c r="AO38" s="30"/>
      <x:c r="AP38" s="30"/>
      <x:c r="AQ38" s="30"/>
      <x:c r="AR38" s="30"/>
      <x:c r="AS38" s="30"/>
      <x:c r="AT38" s="30"/>
      <x:c r="AU38" s="30"/>
      <x:c r="AV38" s="30"/>
      <x:c r="AW38" s="30"/>
      <x:c r="AX38" s="30"/>
      <x:c r="AY38" s="30"/>
      <x:c r="AZ38" s="30"/>
    </x:row>
    <x:row r="39">
      <x:c r="A39" s="30" t="str">
        <x:v>V011</x:v>
      </x:c>
      <x:c r="B39" s="30" t="str">
        <x:v>生菜番茄沙拉（中式清拌）</x:v>
      </x:c>
      <x:c r="C39" s="30" t="str">
        <x:v>vegetable</x:v>
      </x:c>
      <x:c r="D39" s="30" t="str">
        <x:v>unknown</x:v>
      </x:c>
      <x:c r="E39" s="30" t="str">
        <x:v>生菜150g；番茄150g；植物油3g</x:v>
      </x:c>
      <x:c r="F39" s="30" t="str">
        <x: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x:v>
      </x:c>
      <x:c r="G39" s="30" t="str">
        <x:v>生菜150g；番茄150g；植物油3g</x:v>
      </x:c>
      <x:c r="H39" s="30" t="str">
        <x:v>[{"ingredient_name":"生菜","amount":150,"unit":"g","raw_or_cooked_basis":"unknown","source_basis_text":"生菜150g"},{"ingredient_name":"番茄","amount":150,"unit":"g","raw_or_cooked_basis":"unknown","source_basis_text":"番茄150g"},{"ingredient_name":"植物油","amount":3,"unit":"g","raw_or_cooked_basis":"unknown","source_basis_text":"植物油3g"}]</x:v>
      </x:c>
      <x:c r="I39" s="30" t="n">
        <x:v>81</x:v>
      </x:c>
      <x:c r="J39" s="30" t="n">
        <x:v>3.3</x:v>
      </x:c>
      <x:c r="K39" s="30" t="n">
        <x:v>10.3</x:v>
      </x:c>
      <x:c r="L39" s="30" t="n">
        <x:v>3.6</x:v>
      </x:c>
      <x:c r="M39" s="30" t="str">
        <x:v>[0.5,0.75,1,1.25,1.5]</x:v>
      </x:c>
      <x:c r="N39" s="30" t="str">
        <x:v>肺结节患者术前菜品与食谱组件库_V2.0_完整版_MDT审阅_AI调用版.docx</x:v>
      </x:c>
      <x:c r="O39" s="30" t="n">
        <x:v>10</x:v>
      </x:c>
      <x:c r="P39" s="30"/>
      <x:c r="Q39" s="30"/>
      <x:c r="R39" s="30"/>
      <x:c r="S39" s="30"/>
      <x:c r="T39" s="30"/>
      <x:c r="U39" s="30"/>
      <x:c r="V39" s="30" t="str">
        <x:v>围手术期免疫低下或食品卫生风险高时改熟食。</x:v>
      </x:c>
      <x:c r="W39" s="30" t="str">
        <x:v>换熟西兰花/菠菜。</x:v>
      </x:c>
      <x:c r="X39" s="30" t="str">
        <x:v>["regular_meal"]</x:v>
      </x:c>
      <x:c r="Y39" s="30" t="str">
        <x:v>DRAFT</x:v>
      </x:c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0"/>
      <x:c r="AJ39" s="30"/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0"/>
      <x:c r="AU39" s="30"/>
      <x:c r="AV39" s="30"/>
      <x:c r="AW39" s="30"/>
      <x:c r="AX39" s="30"/>
      <x:c r="AY39" s="30"/>
      <x:c r="AZ39" s="30"/>
    </x:row>
    <x:row r="40">
      <x:c r="A40" s="30" t="str">
        <x:v>V012</x:v>
      </x:c>
      <x:c r="B40" s="30" t="str">
        <x:v>西兰花胡萝卜双蔬</x:v>
      </x:c>
      <x:c r="C40" s="30" t="str">
        <x:v>vegetable</x:v>
      </x:c>
      <x:c r="D40" s="30" t="str">
        <x:v>unknown</x:v>
      </x:c>
      <x:c r="E40" s="30" t="str">
        <x:v>西兰花150g；胡萝卜80g；植物油5g</x:v>
      </x:c>
      <x:c r="F40" s="30" t="str">
        <x: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x:v>
      </x:c>
      <x:c r="G40" s="30" t="str">
        <x:v>西兰花150g；胡萝卜80g；植物油5g</x:v>
      </x:c>
      <x:c r="H40" s="30" t="str">
        <x:v>[{"ingredient_name":"西兰花","amount":150,"unit":"g","raw_or_cooked_basis":"unknown","source_basis_text":"西兰花150g"},{"ingredient_name":"胡萝卜","amount":80,"unit":"g","raw_or_cooked_basis":"unknown","source_basis_text":"胡萝卜80g"},{"ingredient_name":"植物油","amount":5,"unit":"g","raw_or_cooked_basis":"unknown","source_basis_text":"植物油5g"}]</x:v>
      </x:c>
      <x:c r="I40" s="30" t="n">
        <x:v>130</x:v>
      </x:c>
      <x:c r="J40" s="30" t="n">
        <x:v>6.9</x:v>
      </x:c>
      <x:c r="K40" s="30" t="n">
        <x:v>13.5</x:v>
      </x:c>
      <x:c r="L40" s="30" t="n">
        <x:v>6.1</x:v>
      </x:c>
      <x:c r="M40" s="30" t="str">
        <x:v>[0.5,0.75,1,1.25,1.5]</x:v>
      </x:c>
      <x:c r="N40" s="30" t="str">
        <x:v>肺结节患者术前菜品与食谱组件库_V2.0_完整版_MDT审阅_AI调用版.docx</x:v>
      </x:c>
      <x:c r="O40" s="30" t="n">
        <x:v>10</x:v>
      </x:c>
      <x:c r="P40" s="30"/>
      <x:c r="Q40" s="30"/>
      <x:c r="R40" s="30"/>
      <x:c r="S40" s="30"/>
      <x:c r="T40" s="30"/>
      <x:c r="U40" s="30"/>
      <x:c r="V40" s="30" t="str">
        <x:v>无特殊。</x:v>
      </x:c>
      <x:c r="W40" s="30" t="str">
        <x:v>换任意两种非淀粉蔬菜。</x:v>
      </x:c>
      <x:c r="X40" s="30" t="str">
        <x:v>["regular_meal"]</x:v>
      </x:c>
      <x:c r="Y40" s="30" t="str">
        <x:v>DRAFT</x:v>
      </x:c>
      <x:c r="Z40" s="30"/>
      <x:c r="AA40" s="30"/>
      <x:c r="AB40" s="30"/>
      <x:c r="AC40" s="30"/>
      <x:c r="AD40" s="30"/>
      <x:c r="AE40" s="30"/>
      <x:c r="AF40" s="30"/>
      <x:c r="AG40" s="30"/>
      <x:c r="AH40" s="30"/>
      <x:c r="AI40" s="30"/>
      <x:c r="AJ40" s="30"/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0"/>
      <x:c r="AU40" s="30"/>
      <x:c r="AV40" s="30"/>
      <x:c r="AW40" s="30"/>
      <x:c r="AX40" s="30"/>
      <x:c r="AY40" s="30"/>
      <x:c r="AZ40" s="30"/>
    </x:row>
    <x:row r="41">
      <x:c r="A41" s="30" t="str">
        <x:v>S001</x:v>
      </x:c>
      <x:c r="B41" s="30" t="str">
        <x:v>低脂奶+苹果</x:v>
      </x:c>
      <x:c r="C41" s="30" t="str">
        <x:v>snack</x:v>
      </x:c>
      <x:c r="D41" s="30" t="str">
        <x:v>mixed_snack</x:v>
      </x:c>
      <x:c r="E41" s="30" t="str">
        <x:v>低脂牛奶200ml；苹果120g</x:v>
      </x:c>
      <x:c r="F41" s="30" t="str">
        <x:v>[{"ingredient_name":"低脂牛奶","amount":200,"unit":"ml","raw_or_cooked_basis":"unknown","source_basis_text":"低脂牛奶200ml"},{"ingredient_name":"苹果","amount":120,"unit":"g","raw_or_cooked_basis":"unknown","source_basis_text":"苹果120g"}]</x:v>
      </x:c>
      <x:c r="G41" s="30" t="str">
        <x:v>低脂牛奶200ml；苹果120g</x:v>
      </x:c>
      <x:c r="H41" s="30" t="str">
        <x:v>[{"ingredient_name":"低脂牛奶","amount":200,"unit":"ml","raw_or_cooked_basis":"unknown","source_basis_text":"低脂牛奶200ml"},{"ingredient_name":"苹果","amount":120,"unit":"g","raw_or_cooked_basis":"unknown","source_basis_text":"苹果120g"}]</x:v>
      </x:c>
      <x:c r="I41" s="30" t="n">
        <x:v>156</x:v>
      </x:c>
      <x:c r="J41" s="30" t="n">
        <x:v>7.1</x:v>
      </x:c>
      <x:c r="K41" s="30" t="n">
        <x:v>26</x:v>
      </x:c>
      <x:c r="L41" s="30" t="n">
        <x:v>3.2</x:v>
      </x:c>
      <x:c r="M41" s="30" t="str">
        <x:v>[0.5,0.75,1,1.25,1.5]</x:v>
      </x:c>
      <x:c r="N41" s="30" t="str">
        <x:v>肺结节患者术前菜品与食谱组件库_V2.0_完整版_MDT审阅_AI调用版.docx</x:v>
      </x:c>
      <x:c r="O41" s="30" t="n">
        <x:v>11</x:v>
      </x:c>
      <x:c r="P41" s="30"/>
      <x:c r="Q41" s="30"/>
      <x:c r="R41" s="30"/>
      <x:c r="S41" s="30"/>
      <x:c r="T41" s="30"/>
      <x:c r="U41" s="30"/>
      <x:c r="V41" s="30" t="str">
        <x:v>乳糖不耐受者换无乳糖奶/豆浆。</x:v>
      </x:c>
      <x:c r="W41" s="30" t="str">
        <x:v>苹果可换梨/橙。</x:v>
      </x:c>
      <x:c r="X41" s="30" t="str">
        <x:v>["energy_support","snack_candidate"]</x:v>
      </x:c>
      <x:c r="Y41" s="30" t="str">
        <x:v>DRAFT</x:v>
      </x:c>
      <x:c r="Z41" s="30"/>
      <x:c r="AA41" s="30"/>
      <x:c r="AB41" s="30"/>
      <x:c r="AC41" s="30"/>
      <x:c r="AD41" s="30"/>
      <x:c r="AE41" s="30"/>
      <x:c r="AF41" s="30"/>
      <x:c r="AG41" s="30"/>
      <x:c r="AH41" s="30"/>
      <x:c r="AI41" s="30"/>
      <x:c r="AJ41" s="30"/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0"/>
      <x:c r="AU41" s="30"/>
      <x:c r="AV41" s="30"/>
      <x:c r="AW41" s="30"/>
      <x:c r="AX41" s="30"/>
      <x:c r="AY41" s="30"/>
      <x:c r="AZ41" s="30"/>
    </x:row>
    <x:row r="42">
      <x:c r="A42" s="30" t="str">
        <x:v>S002</x:v>
      </x:c>
      <x:c r="B42" s="30" t="str">
        <x:v>无糖酸奶+草莓</x:v>
      </x:c>
      <x:c r="C42" s="30" t="str">
        <x:v>snack</x:v>
      </x:c>
      <x:c r="D42" s="30" t="str">
        <x:v>mixed_snack</x:v>
      </x:c>
      <x:c r="E42" s="30" t="str">
        <x:v>无糖酸奶150g；草莓150g</x:v>
      </x:c>
      <x:c r="F42" s="30" t="str">
        <x:v>[{"ingredient_name":"无糖酸奶","amount":150,"unit":"g","raw_or_cooked_basis":"unknown","source_basis_text":"无糖酸奶150g"},{"ingredient_name":"草莓","amount":150,"unit":"g","raw_or_cooked_basis":"unknown","source_basis_text":"草莓150g"}]</x:v>
      </x:c>
      <x:c r="G42" s="30" t="str">
        <x:v>无糖酸奶150g；草莓150g</x:v>
      </x:c>
      <x:c r="H42" s="30" t="str">
        <x:v>[{"ingredient_name":"无糖酸奶","amount":150,"unit":"g","raw_or_cooked_basis":"unknown","source_basis_text":"无糖酸奶150g"},{"ingredient_name":"草莓","amount":150,"unit":"g","raw_or_cooked_basis":"unknown","source_basis_text":"草莓150g"}]</x:v>
      </x:c>
      <x:c r="I42" s="30" t="n">
        <x:v>141</x:v>
      </x:c>
      <x:c r="J42" s="30" t="n">
        <x:v>6.7</x:v>
      </x:c>
      <x:c r="K42" s="30" t="n">
        <x:v>19.1</x:v>
      </x:c>
      <x:c r="L42" s="30" t="n">
        <x:v>5</x:v>
      </x:c>
      <x:c r="M42" s="30" t="str">
        <x:v>[0.5,0.75,1,1.25,1.5]</x:v>
      </x:c>
      <x:c r="N42" s="30" t="str">
        <x:v>肺结节患者术前菜品与食谱组件库_V2.0_完整版_MDT审阅_AI调用版.docx</x:v>
      </x:c>
      <x:c r="O42" s="30" t="n">
        <x:v>11</x:v>
      </x:c>
      <x:c r="P42" s="30"/>
      <x:c r="Q42" s="30"/>
      <x:c r="R42" s="30"/>
      <x:c r="S42" s="30"/>
      <x:c r="T42" s="30"/>
      <x:c r="U42" s="30"/>
      <x:c r="V42" s="30" t="str">
        <x:v>乳糖不耐受按耐受调整。</x:v>
      </x:c>
      <x:c r="W42" s="30" t="str">
        <x:v>草莓换猕猴桃。</x:v>
      </x:c>
      <x:c r="X42" s="30" t="str">
        <x:v>["energy_support","snack_candidate"]</x:v>
      </x:c>
      <x:c r="Y42" s="30" t="str">
        <x:v>DRAFT</x:v>
      </x:c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  <x:c r="AU42" s="30"/>
      <x:c r="AV42" s="30"/>
      <x:c r="AW42" s="30"/>
      <x:c r="AX42" s="30"/>
      <x:c r="AY42" s="30"/>
      <x:c r="AZ42" s="30"/>
    </x:row>
    <x:row r="43">
      <x:c r="A43" s="30" t="str">
        <x:v>S003</x:v>
      </x:c>
      <x:c r="B43" s="30" t="str">
        <x:v>无糖豆浆+梨</x:v>
      </x:c>
      <x:c r="C43" s="30" t="str">
        <x:v>snack</x:v>
      </x:c>
      <x:c r="D43" s="30" t="str">
        <x:v>mixed_snack</x:v>
      </x:c>
      <x:c r="E43" s="30" t="str">
        <x:v>无糖豆浆250ml；梨120g</x:v>
      </x:c>
      <x:c r="F43" s="30" t="str">
        <x:v>[{"ingredient_name":"无糖豆浆","amount":250,"unit":"ml","raw_or_cooked_basis":"unknown","source_basis_text":"无糖豆浆250ml"},{"ingredient_name":"梨","amount":120,"unit":"g","raw_or_cooked_basis":"unknown","source_basis_text":"梨120g"}]</x:v>
      </x:c>
      <x:c r="G43" s="30" t="str">
        <x:v>无糖豆浆250ml；梨120g</x:v>
      </x:c>
      <x:c r="H43" s="30" t="str">
        <x:v>[{"ingredient_name":"无糖豆浆","amount":250,"unit":"ml","raw_or_cooked_basis":"unknown","source_basis_text":"无糖豆浆250ml"},{"ingredient_name":"梨","amount":120,"unit":"g","raw_or_cooked_basis":"unknown","source_basis_text":"梨120g"}]</x:v>
      </x:c>
      <x:c r="I43" s="30" t="n">
        <x:v>139</x:v>
      </x:c>
      <x:c r="J43" s="30" t="n">
        <x:v>8</x:v>
      </x:c>
      <x:c r="K43" s="30" t="n">
        <x:v>18.7</x:v>
      </x:c>
      <x:c r="L43" s="30" t="n">
        <x:v>4.1</x:v>
      </x:c>
      <x:c r="M43" s="30" t="str">
        <x:v>[0.5,0.75,1,1.25,1.5]</x:v>
      </x:c>
      <x:c r="N43" s="30" t="str">
        <x:v>肺结节患者术前菜品与食谱组件库_V2.0_完整版_MDT审阅_AI调用版.docx</x:v>
      </x:c>
      <x:c r="O43" s="30" t="n">
        <x:v>11</x:v>
      </x:c>
      <x:c r="P43" s="30"/>
      <x:c r="Q43" s="30"/>
      <x:c r="R43" s="30"/>
      <x:c r="S43" s="30"/>
      <x:c r="T43" s="30"/>
      <x:c r="U43" s="30"/>
      <x:c r="V43" s="30" t="str">
        <x:v>大豆过敏禁用。</x:v>
      </x:c>
      <x:c r="W43" s="30" t="str">
        <x:v>豆浆换低脂奶。</x:v>
      </x:c>
      <x:c r="X43" s="30" t="str">
        <x:v>["energy_support","protein_support","snack_candidate"]</x:v>
      </x:c>
      <x:c r="Y43" s="30" t="str">
        <x:v>DRAFT</x:v>
      </x:c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  <x:c r="AU43" s="30"/>
      <x:c r="AV43" s="30"/>
      <x:c r="AW43" s="30"/>
      <x:c r="AX43" s="30"/>
      <x:c r="AY43" s="30"/>
      <x:c r="AZ43" s="30"/>
    </x:row>
    <x:row r="44">
      <x:c r="A44" s="30" t="str">
        <x:v>S004</x:v>
      </x:c>
      <x:c r="B44" s="30" t="str">
        <x:v>低脂奶+小香蕉</x:v>
      </x:c>
      <x:c r="C44" s="30" t="str">
        <x:v>snack</x:v>
      </x:c>
      <x:c r="D44" s="30" t="str">
        <x:v>mixed_snack</x:v>
      </x:c>
      <x:c r="E44" s="30" t="str">
        <x:v>低脂牛奶200ml；香蕉80g</x:v>
      </x:c>
      <x:c r="F44" s="30" t="str">
        <x:v>[{"ingredient_name":"低脂牛奶","amount":200,"unit":"ml","raw_or_cooked_basis":"unknown","source_basis_text":"低脂牛奶200ml"},{"ingredient_name":"香蕉","amount":80,"unit":"g","raw_or_cooked_basis":"unknown","source_basis_text":"香蕉80g"}]</x:v>
      </x:c>
      <x:c r="G44" s="30" t="str">
        <x:v>低脂牛奶200ml；香蕉80g</x:v>
      </x:c>
      <x:c r="H44" s="30" t="str">
        <x:v>[{"ingredient_name":"低脂牛奶","amount":200,"unit":"ml","raw_or_cooked_basis":"unknown","source_basis_text":"低脂牛奶200ml"},{"ingredient_name":"香蕉","amount":80,"unit":"g","raw_or_cooked_basis":"unknown","source_basis_text":"香蕉80g"}]</x:v>
      </x:c>
      <x:c r="I44" s="30" t="n">
        <x:v>166</x:v>
      </x:c>
      <x:c r="J44" s="30" t="n">
        <x:v>7.7</x:v>
      </x:c>
      <x:c r="K44" s="30" t="n">
        <x:v>27.2</x:v>
      </x:c>
      <x:c r="L44" s="30" t="n">
        <x:v>3.2</x:v>
      </x:c>
      <x:c r="M44" s="30" t="str">
        <x:v>[0.5,0.75,1,1.25,1.5]</x:v>
      </x:c>
      <x:c r="N44" s="30" t="str">
        <x:v>肺结节患者术前菜品与食谱组件库_V2.0_完整版_MDT审阅_AI调用版.docx</x:v>
      </x:c>
      <x:c r="O44" s="30" t="n">
        <x:v>11</x:v>
      </x:c>
      <x:c r="P44" s="30"/>
      <x:c r="Q44" s="30"/>
      <x:c r="R44" s="30"/>
      <x:c r="S44" s="30"/>
      <x:c r="T44" s="30"/>
      <x:c r="U44" s="30"/>
      <x:c r="V44" s="30" t="str">
        <x:v>糖代谢异常者按总碳水计划计入。</x:v>
      </x:c>
      <x:c r="W44" s="30" t="str">
        <x:v>香蕉换苹果。</x:v>
      </x:c>
      <x:c r="X44" s="30" t="str">
        <x:v>["energy_support","snack_candidate"]</x:v>
      </x:c>
      <x:c r="Y44" s="30" t="str">
        <x:v>DRAFT</x:v>
      </x:c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  <x:c r="AU44" s="30"/>
      <x:c r="AV44" s="30"/>
      <x:c r="AW44" s="30"/>
      <x:c r="AX44" s="30"/>
      <x:c r="AY44" s="30"/>
      <x:c r="AZ44" s="30"/>
    </x:row>
    <x:row r="45">
      <x:c r="A45" s="30" t="str">
        <x:v>S005</x:v>
      </x:c>
      <x:c r="B45" s="30" t="str">
        <x:v>无糖酸奶+核桃</x:v>
      </x:c>
      <x:c r="C45" s="30" t="str">
        <x:v>snack</x:v>
      </x:c>
      <x:c r="D45" s="30" t="str">
        <x:v>mixed_snack</x:v>
      </x:c>
      <x:c r="E45" s="30" t="str">
        <x:v>无糖酸奶150g；核桃10g</x:v>
      </x:c>
      <x:c r="F45" s="30" t="str">
        <x:v>[{"ingredient_name":"无糖酸奶","amount":150,"unit":"g","raw_or_cooked_basis":"unknown","source_basis_text":"无糖酸奶150g"},{"ingredient_name":"核桃","amount":10,"unit":"g","raw_or_cooked_basis":"unknown","source_basis_text":"核桃10g"}]</x:v>
      </x:c>
      <x:c r="G45" s="30" t="str">
        <x:v>无糖酸奶150g；核桃10g</x:v>
      </x:c>
      <x:c r="H45" s="30" t="str">
        <x:v>[{"ingredient_name":"无糖酸奶","amount":150,"unit":"g","raw_or_cooked_basis":"unknown","source_basis_text":"无糖酸奶150g"},{"ingredient_name":"核桃","amount":10,"unit":"g","raw_or_cooked_basis":"unknown","source_basis_text":"核桃10g"}]</x:v>
      </x:c>
      <x:c r="I45" s="30" t="n">
        <x:v>158</x:v>
      </x:c>
      <x:c r="J45" s="30" t="n">
        <x:v>7.2</x:v>
      </x:c>
      <x:c r="K45" s="30" t="n">
        <x:v>8.8</x:v>
      </x:c>
      <x:c r="L45" s="30" t="n">
        <x:v>10.4</x:v>
      </x:c>
      <x:c r="M45" s="30" t="str">
        <x:v>[0.5,0.75,1,1.25,1.5]</x:v>
      </x:c>
      <x:c r="N45" s="30" t="str">
        <x:v>肺结节患者术前菜品与食谱组件库_V2.0_完整版_MDT审阅_AI调用版.docx</x:v>
      </x:c>
      <x:c r="O45" s="30" t="n">
        <x:v>11</x:v>
      </x:c>
      <x:c r="P45" s="30"/>
      <x:c r="Q45" s="30"/>
      <x:c r="R45" s="30"/>
      <x:c r="S45" s="30"/>
      <x:c r="T45" s="30"/>
      <x:c r="U45" s="30"/>
      <x:c r="V45" s="30" t="str">
        <x:v>坚果过敏禁用；能量密度高，不随意加量。</x:v>
      </x:c>
      <x:c r="W45" s="30" t="str">
        <x:v>核桃换杏仁10g。</x:v>
      </x:c>
      <x:c r="X45" s="30" t="str">
        <x:v>["energy_support","snack_candidate"]</x:v>
      </x:c>
      <x:c r="Y45" s="30" t="str">
        <x:v>DRAFT</x:v>
      </x:c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  <x:c r="AU45" s="30"/>
      <x:c r="AV45" s="30"/>
      <x:c r="AW45" s="30"/>
      <x:c r="AX45" s="30"/>
      <x:c r="AY45" s="30"/>
      <x:c r="AZ45" s="30"/>
    </x:row>
    <x:row r="46">
      <x:c r="A46" s="30" t="str">
        <x:v>S006</x:v>
      </x:c>
      <x:c r="B46" s="30" t="str">
        <x:v>低脂奶+橙</x:v>
      </x:c>
      <x:c r="C46" s="30" t="str">
        <x:v>snack</x:v>
      </x:c>
      <x:c r="D46" s="30" t="str">
        <x:v>mixed_snack</x:v>
      </x:c>
      <x:c r="E46" s="30" t="str">
        <x:v>低脂牛奶200ml；橙150g</x:v>
      </x:c>
      <x:c r="F46" s="30" t="str">
        <x:v>[{"ingredient_name":"低脂牛奶","amount":200,"unit":"ml","raw_or_cooked_basis":"unknown","source_basis_text":"低脂牛奶200ml"},{"ingredient_name":"橙","amount":150,"unit":"g","raw_or_cooked_basis":"unknown","source_basis_text":"橙150g"}]</x:v>
      </x:c>
      <x:c r="G46" s="30" t="str">
        <x:v>低脂牛奶200ml；橙150g</x:v>
      </x:c>
      <x:c r="H46" s="30" t="str">
        <x:v>[{"ingredient_name":"低脂牛奶","amount":200,"unit":"ml","raw_or_cooked_basis":"unknown","source_basis_text":"低脂牛奶200ml"},{"ingredient_name":"橙","amount":150,"unit":"g","raw_or_cooked_basis":"unknown","source_basis_text":"橙150g"}]</x:v>
      </x:c>
      <x:c r="I46" s="30" t="n">
        <x:v>164</x:v>
      </x:c>
      <x:c r="J46" s="30" t="n">
        <x:v>7.8</x:v>
      </x:c>
      <x:c r="K46" s="30" t="n">
        <x:v>26.2</x:v>
      </x:c>
      <x:c r="L46" s="30" t="n">
        <x:v>3.3</x:v>
      </x:c>
      <x:c r="M46" s="30" t="str">
        <x:v>[0.5,0.75,1,1.25,1.5]</x:v>
      </x:c>
      <x:c r="N46" s="30" t="str">
        <x:v>肺结节患者术前菜品与食谱组件库_V2.0_完整版_MDT审阅_AI调用版.docx</x:v>
      </x:c>
      <x:c r="O46" s="30" t="n">
        <x:v>11</x:v>
      </x:c>
      <x:c r="P46" s="30"/>
      <x:c r="Q46" s="30"/>
      <x:c r="R46" s="30"/>
      <x:c r="S46" s="30"/>
      <x:c r="T46" s="30"/>
      <x:c r="U46" s="30"/>
      <x:c r="V46" s="30" t="str">
        <x:v>乳糖不耐受者换豆浆。</x:v>
      </x:c>
      <x:c r="W46" s="30" t="str">
        <x:v>橙换苹果/猕猴桃。</x:v>
      </x:c>
      <x:c r="X46" s="30" t="str">
        <x:v>["energy_support","snack_candidate"]</x:v>
      </x:c>
      <x:c r="Y46" s="30" t="str">
        <x:v>DRAFT</x:v>
      </x:c>
      <x:c r="Z46" s="30"/>
      <x:c r="AA46" s="30"/>
      <x:c r="AB46" s="30"/>
      <x:c r="AC46" s="30"/>
      <x:c r="AD46" s="30"/>
      <x:c r="AE46" s="30"/>
      <x:c r="AF46" s="30"/>
      <x:c r="AG46" s="30"/>
      <x:c r="AH46" s="30"/>
      <x:c r="AI46" s="30"/>
      <x:c r="AJ46" s="30"/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0"/>
      <x:c r="AU46" s="30"/>
      <x:c r="AV46" s="30"/>
      <x:c r="AW46" s="30"/>
      <x:c r="AX46" s="30"/>
      <x:c r="AY46" s="30"/>
      <x:c r="AZ46" s="30"/>
    </x:row>
    <x:row r="47">
      <x:c r="A47" s="30" t="str">
        <x:v>S007</x:v>
      </x:c>
      <x:c r="B47" s="30" t="str">
        <x:v>苹果+杏仁</x:v>
      </x:c>
      <x:c r="C47" s="30" t="str">
        <x:v>snack</x:v>
      </x:c>
      <x:c r="D47" s="30" t="str">
        <x:v>mixed_snack</x:v>
      </x:c>
      <x:c r="E47" s="30" t="str">
        <x:v>苹果150g；杏仁10g</x:v>
      </x:c>
      <x:c r="F47" s="30" t="str">
        <x:v>[{"ingredient_name":"苹果","amount":150,"unit":"g","raw_or_cooked_basis":"unknown","source_basis_text":"苹果150g"},{"ingredient_name":"杏仁","amount":10,"unit":"g","raw_or_cooked_basis":"unknown","source_basis_text":"杏仁10g"}]</x:v>
      </x:c>
      <x:c r="G47" s="30" t="str">
        <x:v>苹果150g；杏仁10g</x:v>
      </x:c>
      <x:c r="H47" s="30" t="str">
        <x:v>[{"ingredient_name":"苹果","amount":150,"unit":"g","raw_or_cooked_basis":"unknown","source_basis_text":"苹果150g"},{"ingredient_name":"杏仁","amount":10,"unit":"g","raw_or_cooked_basis":"unknown","source_basis_text":"杏仁10g"}]</x:v>
      </x:c>
      <x:c r="I47" s="30" t="n">
        <x:v>137</x:v>
      </x:c>
      <x:c r="J47" s="30" t="n">
        <x:v>2.7</x:v>
      </x:c>
      <x:c r="K47" s="30" t="n">
        <x:v>22.7</x:v>
      </x:c>
      <x:c r="L47" s="30" t="n">
        <x:v>5.4</x:v>
      </x:c>
      <x:c r="M47" s="30" t="str">
        <x:v>[0.5,0.75,1,1.25,1.5]</x:v>
      </x:c>
      <x:c r="N47" s="30" t="str">
        <x:v>肺结节患者术前菜品与食谱组件库_V2.0_完整版_MDT审阅_AI调用版.docx</x:v>
      </x:c>
      <x:c r="O47" s="30" t="n">
        <x:v>11</x:v>
      </x:c>
      <x:c r="P47" s="30"/>
      <x:c r="Q47" s="30"/>
      <x:c r="R47" s="30"/>
      <x:c r="S47" s="30"/>
      <x:c r="T47" s="30"/>
      <x:c r="U47" s="30"/>
      <x:c r="V47" s="30" t="str">
        <x:v>坚果过敏禁用；注意总脂肪。</x:v>
      </x:c>
      <x:c r="W47" s="30" t="str">
        <x:v>杏仁换核桃。</x:v>
      </x:c>
      <x:c r="X47" s="30" t="str">
        <x:v>["energy_support","snack_candidate"]</x:v>
      </x:c>
      <x:c r="Y47" s="30" t="str">
        <x:v>DRAFT</x:v>
      </x:c>
      <x:c r="Z47" s="30"/>
      <x:c r="AA47" s="30"/>
      <x:c r="AB47" s="30"/>
      <x:c r="AC47" s="30"/>
      <x:c r="AD47" s="30"/>
      <x:c r="AE47" s="30"/>
      <x:c r="AF47" s="30"/>
      <x:c r="AG47" s="30"/>
      <x:c r="AH47" s="30"/>
      <x:c r="AI47" s="30"/>
      <x:c r="AJ47" s="30"/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0"/>
      <x:c r="AU47" s="30"/>
      <x:c r="AV47" s="30"/>
      <x:c r="AW47" s="30"/>
      <x:c r="AX47" s="30"/>
      <x:c r="AY47" s="30"/>
      <x:c r="AZ47" s="30"/>
    </x:row>
    <x:row r="48">
      <x:c r="A48" s="30" t="str">
        <x:v>S008</x:v>
      </x:c>
      <x:c r="B48" s="30" t="str">
        <x:v>鲜玉米+低脂奶</x:v>
      </x:c>
      <x:c r="C48" s="30" t="str">
        <x:v>snack</x:v>
      </x:c>
      <x:c r="D48" s="30" t="str">
        <x:v>dairy</x:v>
      </x:c>
      <x:c r="E48" s="30" t="str">
        <x:v>玉米鲜100g；低脂牛奶150ml</x:v>
      </x:c>
      <x:c r="F48" s="30" t="str">
        <x:v>[{"ingredient_name":"玉米鲜","amount":100,"unit":"g","raw_or_cooked_basis":"unknown","source_basis_text":"玉米鲜100g"},{"ingredient_name":"低脂牛奶","amount":150,"unit":"ml","raw_or_cooked_basis":"unknown","source_basis_text":"低脂牛奶150ml"}]</x:v>
      </x:c>
      <x:c r="G48" s="30" t="str">
        <x:v>玉米鲜100g；低脂牛奶150ml</x:v>
      </x:c>
      <x:c r="H48" s="30" t="str">
        <x:v>[{"ingredient_name":"玉米鲜","amount":100,"unit":"g","raw_or_cooked_basis":"unknown","source_basis_text":"玉米鲜100g"},{"ingredient_name":"低脂牛奶","amount":150,"unit":"ml","raw_or_cooked_basis":"unknown","source_basis_text":"低脂牛奶150ml"}]</x:v>
      </x:c>
      <x:c r="I48" s="30" t="n">
        <x:v>181</x:v>
      </x:c>
      <x:c r="J48" s="30" t="n">
        <x:v>8.9</x:v>
      </x:c>
      <x:c r="K48" s="30" t="n">
        <x:v>30</x:v>
      </x:c>
      <x:c r="L48" s="30" t="n">
        <x:v>3.5</x:v>
      </x:c>
      <x:c r="M48" s="30" t="str">
        <x:v>[0.5,0.75,1,1.25,1.5]</x:v>
      </x:c>
      <x:c r="N48" s="30" t="str">
        <x:v>肺结节患者术前菜品与食谱组件库_V2.0_完整版_MDT审阅_AI调用版.docx</x:v>
      </x:c>
      <x:c r="O48" s="30" t="n">
        <x:v>11</x:v>
      </x:c>
      <x:c r="P48" s="30"/>
      <x:c r="Q48" s="30"/>
      <x:c r="R48" s="30"/>
      <x:c r="S48" s="30"/>
      <x:c r="T48" s="30"/>
      <x:c r="U48" s="30"/>
      <x:c r="V48" s="30" t="str">
        <x:v>减重能量目标低时份量按总能量调整。</x:v>
      </x:c>
      <x:c r="W48" s="30" t="str">
        <x:v>玉米换红薯100g。</x:v>
      </x:c>
      <x:c r="X48" s="30" t="str">
        <x:v>["energy_support","protein_support","snack_candidate"]</x:v>
      </x:c>
      <x:c r="Y48" s="30" t="str">
        <x:v>DRAFT</x:v>
      </x:c>
      <x:c r="Z48" s="30"/>
      <x:c r="AA48" s="30"/>
      <x:c r="AB48" s="30"/>
      <x:c r="AC48" s="30"/>
      <x:c r="AD48" s="30"/>
      <x:c r="AE48" s="30"/>
      <x:c r="AF48" s="30"/>
      <x:c r="AG48" s="30"/>
      <x:c r="AH48" s="30"/>
      <x:c r="AI48" s="30"/>
      <x:c r="AJ48" s="30"/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0"/>
      <x:c r="AU48" s="30"/>
      <x:c r="AV48" s="30"/>
      <x:c r="AW48" s="30"/>
      <x:c r="AX48" s="30"/>
      <x:c r="AY48" s="30"/>
      <x:c r="AZ48" s="30"/>
    </x:row>
    <x:row r="49">
      <x:c r="A49" s="30" t="str">
        <x:v>S009</x:v>
      </x:c>
      <x:c r="B49" s="30" t="str">
        <x:v>水煮蛋+小番茄</x:v>
      </x:c>
      <x:c r="C49" s="30" t="str">
        <x:v>snack</x:v>
      </x:c>
      <x:c r="D49" s="30" t="str">
        <x:v>protein_snack</x:v>
      </x:c>
      <x:c r="E49" s="30" t="str">
        <x:v>鸡蛋50g；番茄150g</x:v>
      </x:c>
      <x:c r="F49" s="30" t="str">
        <x:v>[{"ingredient_name":"鸡蛋","amount":50,"unit":"g","raw_or_cooked_basis":"unknown","source_basis_text":"鸡蛋50g"},{"ingredient_name":"番茄","amount":150,"unit":"g","raw_or_cooked_basis":"unknown","source_basis_text":"番茄150g"}]</x:v>
      </x:c>
      <x:c r="G49" s="30" t="str">
        <x:v>鸡蛋50g；番茄150g</x:v>
      </x:c>
      <x:c r="H49" s="30" t="str">
        <x:v>[{"ingredient_name":"鸡蛋","amount":50,"unit":"g","raw_or_cooked_basis":"unknown","source_basis_text":"鸡蛋50g"},{"ingredient_name":"番茄","amount":150,"unit":"g","raw_or_cooked_basis":"unknown","source_basis_text":"番茄150g"}]</x:v>
      </x:c>
      <x:c r="I49" s="30" t="n">
        <x:v>102</x:v>
      </x:c>
      <x:c r="J49" s="30" t="n">
        <x:v>8</x:v>
      </x:c>
      <x:c r="K49" s="30" t="n">
        <x:v>7.4</x:v>
      </x:c>
      <x:c r="L49" s="30" t="n">
        <x:v>4.7</x:v>
      </x:c>
      <x:c r="M49" s="30" t="str">
        <x:v>[0.5,0.75,1,1.25,1.5]</x:v>
      </x:c>
      <x:c r="N49" s="30" t="str">
        <x:v>肺结节患者术前菜品与食谱组件库_V2.0_完整版_MDT审阅_AI调用版.docx</x:v>
      </x:c>
      <x:c r="O49" s="30" t="n">
        <x:v>11</x:v>
      </x:c>
      <x:c r="P49" s="30"/>
      <x:c r="Q49" s="30"/>
      <x:c r="R49" s="30"/>
      <x:c r="S49" s="30"/>
      <x:c r="T49" s="30"/>
      <x:c r="U49" s="30"/>
      <x:c r="V49" s="30" t="str">
        <x:v>血脂异常者蛋类总量按整体计划。</x:v>
      </x:c>
      <x:c r="W49" s="30" t="str">
        <x:v>鸡蛋换无糖酸奶。</x:v>
      </x:c>
      <x:c r="X49" s="30" t="str">
        <x:v>["protein_support","snack_candidate"]</x:v>
      </x:c>
      <x:c r="Y49" s="30" t="str">
        <x:v>DRAFT</x:v>
      </x:c>
      <x:c r="Z49" s="30"/>
      <x:c r="AA49" s="30"/>
      <x:c r="AB49" s="30"/>
      <x:c r="AC49" s="30"/>
      <x:c r="AD49" s="30"/>
      <x:c r="AE49" s="30"/>
      <x:c r="AF49" s="30"/>
      <x:c r="AG49" s="30"/>
      <x:c r="AH49" s="30"/>
      <x:c r="AI49" s="30"/>
      <x:c r="AJ49" s="30"/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0"/>
      <x:c r="AU49" s="30"/>
      <x:c r="AV49" s="30"/>
      <x:c r="AW49" s="30"/>
      <x:c r="AX49" s="30"/>
      <x:c r="AY49" s="30"/>
      <x:c r="AZ49" s="30"/>
    </x:row>
    <x:row r="50">
      <x:c r="A50" s="30" t="str">
        <x:v>S010</x:v>
      </x:c>
      <x:c r="B50" s="30" t="str">
        <x:v>猕猴桃+无糖酸奶</x:v>
      </x:c>
      <x:c r="C50" s="30" t="str">
        <x:v>snack</x:v>
      </x:c>
      <x:c r="D50" s="30" t="str">
        <x:v>mixed_snack</x:v>
      </x:c>
      <x:c r="E50" s="30" t="str">
        <x:v>猕猴桃100g；无糖酸奶150g</x:v>
      </x:c>
      <x:c r="F50" s="30" t="str">
        <x:v>[{"ingredient_name":"猕猴桃","amount":100,"unit":"g","raw_or_cooked_basis":"unknown","source_basis_text":"猕猴桃100g"},{"ingredient_name":"无糖酸奶","amount":150,"unit":"g","raw_or_cooked_basis":"unknown","source_basis_text":"无糖酸奶150g"}]</x:v>
      </x:c>
      <x:c r="G50" s="30" t="str">
        <x:v>猕猴桃100g；无糖酸奶150g</x:v>
      </x:c>
      <x:c r="H50" s="30" t="str">
        <x:v>[{"ingredient_name":"猕猴桃","amount":100,"unit":"g","raw_or_cooked_basis":"unknown","source_basis_text":"猕猴桃100g"},{"ingredient_name":"无糖酸奶","amount":150,"unit":"g","raw_or_cooked_basis":"unknown","source_basis_text":"无糖酸奶150g"}]</x:v>
      </x:c>
      <x:c r="I50" s="30" t="n">
        <x:v>154</x:v>
      </x:c>
      <x:c r="J50" s="30" t="n">
        <x:v>6.8</x:v>
      </x:c>
      <x:c r="K50" s="30" t="n">
        <x:v>22</x:v>
      </x:c>
      <x:c r="L50" s="30" t="n">
        <x:v>5</x:v>
      </x:c>
      <x:c r="M50" s="30" t="str">
        <x:v>[0.5,0.75,1,1.25,1.5]</x:v>
      </x:c>
      <x:c r="N50" s="30" t="str">
        <x:v>肺结节患者术前菜品与食谱组件库_V2.0_完整版_MDT审阅_AI调用版.docx</x:v>
      </x:c>
      <x:c r="O50" s="30" t="n">
        <x:v>11</x:v>
      </x:c>
      <x:c r="P50" s="30"/>
      <x:c r="Q50" s="30"/>
      <x:c r="R50" s="30"/>
      <x:c r="S50" s="30"/>
      <x:c r="T50" s="30"/>
      <x:c r="U50" s="30"/>
      <x:c r="V50" s="30" t="str">
        <x:v>乳糖不耐受按耐受调整。</x:v>
      </x:c>
      <x:c r="W50" s="30" t="str">
        <x:v>酸奶换豆浆。</x:v>
      </x:c>
      <x:c r="X50" s="30" t="str">
        <x:v>["energy_support","snack_candidate"]</x:v>
      </x:c>
      <x:c r="Y50" s="30" t="str">
        <x:v>DRAFT</x:v>
      </x:c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  <x:c r="AK50" s="30"/>
      <x:c r="AL50" s="30"/>
      <x:c r="AM50" s="30"/>
      <x:c r="AN50" s="30"/>
      <x:c r="AO50" s="30"/>
      <x:c r="AP50" s="30"/>
      <x:c r="AQ50" s="30"/>
      <x:c r="AR50" s="30"/>
      <x:c r="AS50" s="30"/>
      <x:c r="AT50" s="30"/>
      <x:c r="AU50" s="30"/>
      <x:c r="AV50" s="30"/>
      <x:c r="AW50" s="30"/>
      <x:c r="AX50" s="30"/>
      <x:c r="AY50" s="30"/>
      <x:c r="AZ50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9" hidden="0" customWidth="1"/>
    <x:col min="4" max="4" width="54" hidden="0" customWidth="1"/>
    <x:col min="5" max="5" width="48" hidden="0" customWidth="1"/>
    <x:col min="6" max="6" width="14" hidden="0" customWidth="1"/>
  </x:cols>
  <x:sheetData>
    <x:row r="1">
      <x:c r="A1" s="5" t="str">
        <x:v>知识库缺口汇总｜MDT优先处理</x:v>
      </x:c>
      <x:c r="B1" s="5"/>
      <x:c r="C1" s="5"/>
      <x:c r="D1" s="5"/>
      <x:c r="E1" s="5"/>
      <x:c r="F1" s="5"/>
    </x:row>
    <x:row r="2">
      <x:c r="A2" s="14" t="str">
        <x:v>待确认重点：重量口径、份量边界、食材/产品身份及跨表营养一致性。AI候选不等于MDT批准。</x:v>
      </x:c>
      <x:c r="B2" s="14"/>
      <x:c r="C2" s="14"/>
      <x:c r="D2" s="14"/>
      <x:c r="E2" s="14"/>
      <x:c r="F2" s="14"/>
    </x:row>
    <x:row r="3">
      <x:c r="A3" s="24" t="str">
        <x:v>指标</x:v>
      </x:c>
      <x:c r="B3" s="24" t="str">
        <x:v>数量</x:v>
      </x:c>
      <x:c r="C3" s="24" t="str">
        <x:v>处理建议</x:v>
      </x:c>
      <x:c r="E3" s="24" t="str">
        <x:v>重点候选</x:v>
      </x:c>
      <x:c r="F3" s="24" t="str">
        <x:v>数量</x:v>
      </x:c>
    </x:row>
    <x:row r="4">
      <x:c r="A4" t="str">
        <x:v>FOOD总数</x:v>
      </x:c>
      <x:c r="B4" t="n">
        <x:v>49</x:v>
      </x:c>
      <x:c r="C4" t="str">
        <x:v>全部已纳入审核</x:v>
      </x:c>
      <x:c r="E4" t="str">
        <x:v>主食</x:v>
      </x:c>
      <x:c r="F4" t="n">
        <x:v>12</x:v>
      </x:c>
    </x:row>
    <x:row r="5">
      <x:c r="A5" t="str">
        <x:v>重量口径待MDT确认</x:v>
      </x:c>
      <x:c r="B5" t="n">
        <x:v>49</x:v>
      </x:c>
      <x:c r="C5" t="str">
        <x:v>已提供候选，逐项确认后写回正式知识库</x:v>
      </x:c>
      <x:c r="E5" t="str">
        <x:v>奶类候选</x:v>
      </x:c>
      <x:c r="F5" t="n">
        <x:v>7</x:v>
      </x:c>
    </x:row>
    <x:row r="6">
      <x:c r="A6" t="str">
        <x:v>份量边界待MDT确认</x:v>
      </x:c>
      <x:c r="B6" t="n">
        <x:v>49</x:v>
      </x:c>
      <x:c r="C6" t="str">
        <x:v>确认min/max/step及离散/包装规则</x:v>
      </x:c>
      <x:c r="E6" t="str">
        <x:v>水果候选</x:v>
      </x:c>
      <x:c r="F6" t="n">
        <x:v>7</x:v>
      </x:c>
    </x:row>
    <x:row r="7">
      <x:c r="A7" t="str">
        <x:v>跨表营养差异（超阈值）</x:v>
      </x:c>
      <x:c r="B7" t="n">
        <x:v>18</x:v>
      </x:c>
      <x:c r="C7" t="str">
        <x:v>核对营养源、产品标签和重量口径后决定是否写回</x:v>
      </x:c>
      <x:c r="E7" t="str">
        <x:v>坚果候选</x:v>
      </x:c>
      <x:c r="F7" t="n">
        <x:v>2</x:v>
      </x:c>
    </x:row>
    <x:row r="8">
      <x:c r="A8" t="str">
        <x:v>subcategory unknown</x:v>
      </x:c>
      <x:c r="B8" t="n">
        <x:v>15</x:v>
      </x:c>
      <x:c r="C8" t="str">
        <x:v>仅这15项优先确认子类别</x:v>
      </x:c>
      <x:c r="E8" t="str">
        <x:v>蛋白型加餐</x:v>
      </x:c>
      <x:c r="F8" t="n">
        <x:v>3</x:v>
      </x:c>
    </x:row>
    <x:row r="9">
      <x:c r="A9" t="str">
        <x:v>基础份量不完整</x:v>
      </x:c>
      <x:c r="B9" t="n">
        <x:v>0</x:v>
      </x:c>
      <x:c r="C9" t="str">
        <x:v>无需重复抄写基础份量；只需确认是否正确</x:v>
      </x:c>
      <x:c r="E9" t="str">
        <x:v>能量支持加餐</x:v>
      </x:c>
      <x:c r="F9" t="n">
        <x:v>9</x:v>
      </x:c>
    </x:row>
    <x:row r="11">
      <x:c r="A11" s="24" t="str">
        <x:v>D/E营养恢复优先审核组件</x:v>
      </x:c>
      <x:c r="B11" s="24"/>
      <x:c r="C11" s="24"/>
      <x:c r="D11" s="24"/>
      <x:c r="E11" s="24"/>
      <x:c r="F11" s="24"/>
    </x:row>
    <x:row r="12">
      <x:c r="A12" s="24" t="str">
        <x:v>component_id</x:v>
      </x:c>
      <x:c r="B12" s="24" t="str">
        <x:v>组件名称</x:v>
      </x:c>
      <x:c r="C12" s="24" t="str">
        <x:v>类别</x:v>
      </x:c>
      <x:c r="D12" s="24" t="str">
        <x:v>子类别</x:v>
      </x:c>
      <x:c r="E12" s="24" t="str">
        <x:v>基础份量</x:v>
      </x:c>
      <x:c r="F12" s="24" t="str">
        <x:v>现有限制/注意</x:v>
      </x:c>
    </x:row>
    <x:row r="13">
      <x:c r="A13" s="30" t="str">
        <x:v>C001</x:v>
      </x:c>
      <x:c r="B13" s="30" t="str">
        <x:v>白米饭基础份</x:v>
      </x:c>
      <x:c r="C13" s="30" t="str">
        <x:v>staple</x:v>
      </x:c>
      <x:c r="D13" s="30" t="str">
        <x:v>refined_grain</x:v>
      </x:c>
      <x:c r="E13" s="30" t="str">
        <x:v>大米50g</x:v>
      </x:c>
      <x:c r="F13" s="30" t="str">
        <x:v>糖代谢异常者优先与全谷/杂豆搭配，不建议单独大量使用。</x:v>
      </x:c>
    </x:row>
    <x:row r="14">
      <x:c r="A14" s="30" t="str">
        <x:v>C002</x:v>
      </x:c>
      <x:c r="B14" s="30" t="str">
        <x:v>糙米饭基础份</x:v>
      </x:c>
      <x:c r="C14" s="30" t="str">
        <x:v>staple</x:v>
      </x:c>
      <x:c r="D14" s="30" t="str">
        <x:v>whole_grain</x:v>
      </x:c>
      <x:c r="E14" s="30" t="str">
        <x:v>糙米50g</x:v>
      </x:c>
      <x:c r="F14" s="30" t="str">
        <x:v>胃肠耐受差或术前极短窗口可降低粗杂粮比例。</x:v>
      </x:c>
    </x:row>
    <x:row r="15">
      <x:c r="A15" s="30" t="str">
        <x:v>C003</x:v>
      </x:c>
      <x:c r="B15" s="30" t="str">
        <x:v>杂粮饭基础份</x:v>
      </x:c>
      <x:c r="C15" s="30" t="str">
        <x:v>staple</x:v>
      </x:c>
      <x:c r="D15" s="30" t="str">
        <x:v>whole_grain</x:v>
      </x:c>
      <x:c r="E15" s="30" t="str">
        <x:v>大米35g；糙米15g；赤小豆干10g</x:v>
      </x:c>
      <x:c r="F15" s="30" t="str">
        <x:v>痛风急性发作/胃肠不适时具体杂豆量按医护意见调整。</x:v>
      </x:c>
    </x:row>
    <x:row r="16">
      <x:c r="A16" s="30" t="str">
        <x:v>C004</x:v>
      </x:c>
      <x:c r="B16" s="30" t="str">
        <x:v>燕麦早餐份</x:v>
      </x:c>
      <x:c r="C16" s="30" t="str">
        <x:v>staple</x:v>
      </x:c>
      <x:c r="D16" s="30" t="str">
        <x:v>whole_grain</x:v>
      </x:c>
      <x:c r="E16" s="30" t="str">
        <x:v>燕麦片40g</x:v>
      </x:c>
      <x:c r="F16" s="30" t="str">
        <x:v>吞咽或胃肠耐受差时调整稠度。</x:v>
      </x:c>
    </x:row>
    <x:row r="17">
      <x:c r="A17" s="30" t="str">
        <x:v>C005</x:v>
      </x:c>
      <x:c r="B17" s="30" t="str">
        <x:v>全麦馒头基础份</x:v>
      </x:c>
      <x:c r="C17" s="30" t="str">
        <x:v>staple</x:v>
      </x:c>
      <x:c r="D17" s="30" t="str">
        <x:v>whole_grain</x:v>
      </x:c>
      <x:c r="E17" s="30" t="str">
        <x:v>全麦面粉60g</x:v>
      </x:c>
      <x:c r="F17" s="30" t="str">
        <x:v>购买成品需关注钠和添加糖。</x:v>
      </x:c>
    </x:row>
    <x:row r="18">
      <x:c r="A18" s="30" t="str">
        <x:v>C006</x:v>
      </x:c>
      <x:c r="B18" s="30" t="str">
        <x:v>鲜玉米基础份</x:v>
      </x:c>
      <x:c r="C18" s="30" t="str">
        <x:v>staple</x:v>
      </x:c>
      <x:c r="D18" s="30" t="str">
        <x:v>unknown</x:v>
      </x:c>
      <x:c r="E18" s="30" t="str">
        <x:v>玉米鲜150g</x:v>
      </x:c>
      <x:c r="F18" s="30" t="str">
        <x:v>消化不良者可减少份量。</x:v>
      </x:c>
    </x:row>
    <x:row r="19">
      <x:c r="A19" s="30" t="str">
        <x:v>C007</x:v>
      </x:c>
      <x:c r="B19" s="30" t="str">
        <x:v>蒸红薯基础份</x:v>
      </x:c>
      <x:c r="C19" s="30" t="str">
        <x:v>staple</x:v>
      </x:c>
      <x:c r="D19" s="30" t="str">
        <x:v>tuber</x:v>
      </x:c>
      <x:c r="E19" s="30" t="str">
        <x:v>红薯150g</x:v>
      </x:c>
      <x:c r="F19" s="30" t="str">
        <x:v>糖代谢异常者仍需计入主食总量。</x:v>
      </x:c>
    </x:row>
    <x:row r="20">
      <x:c r="A20" s="30" t="str">
        <x:v>C008</x:v>
      </x:c>
      <x:c r="B20" s="30" t="str">
        <x:v>荞麦面基础份</x:v>
      </x:c>
      <x:c r="C20" s="30" t="str">
        <x:v>staple</x:v>
      </x:c>
      <x:c r="D20" s="30" t="str">
        <x:v>whole_grain</x:v>
      </x:c>
      <x:c r="E20" s="30" t="str">
        <x:v>荞麦面干60g</x:v>
      </x:c>
      <x:c r="F20" s="30" t="str">
        <x:v>注意面条成品钠含量。</x:v>
      </x:c>
    </x:row>
    <x:row r="21">
      <x:c r="A21" s="30" t="str">
        <x:v>C009</x:v>
      </x:c>
      <x:c r="B21" s="30" t="str">
        <x:v>小米粥基础份</x:v>
      </x:c>
      <x:c r="C21" s="30" t="str">
        <x:v>staple</x:v>
      </x:c>
      <x:c r="D21" s="30" t="str">
        <x:v>unknown</x:v>
      </x:c>
      <x:c r="E21" s="30" t="str">
        <x:v>小米40g</x:v>
      </x:c>
      <x:c r="F21" s="30" t="str">
        <x:v>粥类消化快，糖代谢异常者应搭配蛋白和蔬菜。</x:v>
      </x:c>
    </x:row>
    <x:row r="22">
      <x:c r="A22" s="30" t="str">
        <x:v>C010</x:v>
      </x:c>
      <x:c r="B22" s="30" t="str">
        <x:v>红豆小米粥</x:v>
      </x:c>
      <x:c r="C22" s="30" t="str">
        <x:v>staple</x:v>
      </x:c>
      <x:c r="D22" s="30" t="str">
        <x:v>unknown</x:v>
      </x:c>
      <x:c r="E22" s="30" t="str">
        <x:v>小米30g；赤小豆干10g</x:v>
      </x:c>
      <x:c r="F22" s="30" t="str">
        <x:v>胃肠胀气明显时减量或替换。</x:v>
      </x:c>
    </x:row>
    <x:row r="23">
      <x:c r="A23" s="30" t="str">
        <x:v>C011</x:v>
      </x:c>
      <x:c r="B23" s="30" t="str">
        <x:v>全麦面包基础份</x:v>
      </x:c>
      <x:c r="C23" s="30" t="str">
        <x:v>staple</x:v>
      </x:c>
      <x:c r="D23" s="30" t="str">
        <x:v>whole_grain</x:v>
      </x:c>
      <x:c r="E23" s="30" t="str">
        <x:v>全麦面包70g</x:v>
      </x:c>
      <x:c r="F23" s="30" t="str">
        <x:v>商业面包钠、糖、脂肪差异大，需读取标签。</x:v>
      </x:c>
    </x:row>
    <x:row r="24">
      <x:c r="A24" s="30" t="str">
        <x:v>C012</x:v>
      </x:c>
      <x:c r="B24" s="30" t="str">
        <x:v>山药主食份</x:v>
      </x:c>
      <x:c r="C24" s="30" t="str">
        <x:v>staple</x:v>
      </x:c>
      <x:c r="D24" s="30" t="str">
        <x:v>tuber</x:v>
      </x:c>
      <x:c r="E24" s="30" t="str">
        <x:v>山药200g</x:v>
      </x:c>
      <x:c r="F24" s="30" t="str">
        <x:v>能量较低，D/E型若需增加能量应搭配其他主食和蛋白。</x:v>
      </x:c>
    </x:row>
    <x:row r="25">
      <x:c r="A25" s="30" t="str">
        <x:v>S001</x:v>
      </x:c>
      <x:c r="B25" s="30" t="str">
        <x:v>低脂奶+苹果</x:v>
      </x:c>
      <x:c r="C25" s="30" t="str">
        <x:v>snack</x:v>
      </x:c>
      <x:c r="D25" s="30" t="str">
        <x:v>mixed_snack</x:v>
      </x:c>
      <x:c r="E25" s="30" t="str">
        <x:v>低脂牛奶200ml；苹果120g</x:v>
      </x:c>
      <x:c r="F25" s="30" t="str">
        <x:v>乳糖不耐受者换无乳糖奶/豆浆。</x:v>
      </x:c>
    </x:row>
    <x:row r="26">
      <x:c r="A26" s="30" t="str">
        <x:v>S002</x:v>
      </x:c>
      <x:c r="B26" s="30" t="str">
        <x:v>无糖酸奶+草莓</x:v>
      </x:c>
      <x:c r="C26" s="30" t="str">
        <x:v>snack</x:v>
      </x:c>
      <x:c r="D26" s="30" t="str">
        <x:v>mixed_snack</x:v>
      </x:c>
      <x:c r="E26" s="30" t="str">
        <x:v>无糖酸奶150ml；草莓150g</x:v>
      </x:c>
      <x:c r="F26" s="30" t="str">
        <x:v>乳糖不耐受按耐受调整。</x:v>
      </x:c>
    </x:row>
    <x:row r="27">
      <x:c r="A27" s="30" t="str">
        <x:v>S003</x:v>
      </x:c>
      <x:c r="B27" s="30" t="str">
        <x:v>无糖豆浆+梨</x:v>
      </x:c>
      <x:c r="C27" s="30" t="str">
        <x:v>snack</x:v>
      </x:c>
      <x:c r="D27" s="30" t="str">
        <x:v>mixed_snack</x:v>
      </x:c>
      <x:c r="E27" s="30" t="str">
        <x:v>无糖豆浆250ml；梨120g</x:v>
      </x:c>
      <x:c r="F27" s="30" t="str">
        <x:v>大豆过敏禁用。</x:v>
      </x:c>
    </x:row>
    <x:row r="28">
      <x:c r="A28" s="30" t="str">
        <x:v>S004</x:v>
      </x:c>
      <x:c r="B28" s="30" t="str">
        <x:v>低脂奶+小香蕉</x:v>
      </x:c>
      <x:c r="C28" s="30" t="str">
        <x:v>snack</x:v>
      </x:c>
      <x:c r="D28" s="30" t="str">
        <x:v>mixed_snack</x:v>
      </x:c>
      <x:c r="E28" s="30" t="str">
        <x:v>低脂牛奶200ml；香蕉80g</x:v>
      </x:c>
      <x:c r="F28" s="30" t="str">
        <x:v>糖代谢异常者按总碳水计划计入。</x:v>
      </x:c>
    </x:row>
    <x:row r="29">
      <x:c r="A29" s="30" t="str">
        <x:v>S005</x:v>
      </x:c>
      <x:c r="B29" s="30" t="str">
        <x:v>无糖酸奶+核桃</x:v>
      </x:c>
      <x:c r="C29" s="30" t="str">
        <x:v>snack</x:v>
      </x:c>
      <x:c r="D29" s="30" t="str">
        <x:v>mixed_snack</x:v>
      </x:c>
      <x:c r="E29" s="30" t="str">
        <x:v>无糖酸奶150ml；核桃10g</x:v>
      </x:c>
      <x:c r="F29" s="30" t="str">
        <x:v>坚果过敏禁用；能量密度高，不随意加量。</x:v>
      </x:c>
    </x:row>
    <x:row r="30">
      <x:c r="A30" s="30" t="str">
        <x:v>S006</x:v>
      </x:c>
      <x:c r="B30" s="30" t="str">
        <x:v>低脂奶+橙</x:v>
      </x:c>
      <x:c r="C30" s="30" t="str">
        <x:v>snack</x:v>
      </x:c>
      <x:c r="D30" s="30" t="str">
        <x:v>mixed_snack</x:v>
      </x:c>
      <x:c r="E30" s="30" t="str">
        <x:v>低脂牛奶200ml；橙150g</x:v>
      </x:c>
      <x:c r="F30" s="30" t="str">
        <x:v>乳糖不耐受者换豆浆。</x:v>
      </x:c>
    </x:row>
    <x:row r="31">
      <x:c r="A31" s="30" t="str">
        <x:v>S007</x:v>
      </x:c>
      <x:c r="B31" s="30" t="str">
        <x:v>苹果+杏仁</x:v>
      </x:c>
      <x:c r="C31" s="30" t="str">
        <x:v>snack</x:v>
      </x:c>
      <x:c r="D31" s="30" t="str">
        <x:v>mixed_snack</x:v>
      </x:c>
      <x:c r="E31" s="30" t="str">
        <x:v>苹果150g；杏仁10g</x:v>
      </x:c>
      <x:c r="F31" s="30" t="str">
        <x:v>坚果过敏禁用；注意总脂肪。</x:v>
      </x:c>
    </x:row>
    <x:row r="32">
      <x:c r="A32" s="30" t="str">
        <x:v>S008</x:v>
      </x:c>
      <x:c r="B32" s="30" t="str">
        <x:v>鲜玉米+低脂奶</x:v>
      </x:c>
      <x:c r="C32" s="30" t="str">
        <x:v>snack</x:v>
      </x:c>
      <x:c r="D32" s="30" t="str">
        <x:v>dairy</x:v>
      </x:c>
      <x:c r="E32" s="30" t="str">
        <x:v>玉米鲜100g；低脂牛奶150ml</x:v>
      </x:c>
      <x:c r="F32" s="30" t="str">
        <x:v>减重能量目标低时份量按总能量调整。</x:v>
      </x:c>
    </x:row>
    <x:row r="33">
      <x:c r="A33" s="30" t="str">
        <x:v>S009</x:v>
      </x:c>
      <x:c r="B33" s="30" t="str">
        <x:v>水煮蛋+小番茄</x:v>
      </x:c>
      <x:c r="C33" s="30" t="str">
        <x:v>snack</x:v>
      </x:c>
      <x:c r="D33" s="30" t="str">
        <x:v>protein_snack</x:v>
      </x:c>
      <x:c r="E33" s="30" t="str">
        <x:v>鸡蛋50g；番茄150g</x:v>
      </x:c>
      <x:c r="F33" s="30" t="str">
        <x:v>血脂异常者蛋类总量按整体计划。</x:v>
      </x:c>
    </x:row>
    <x:row r="34">
      <x:c r="A34" s="30" t="str">
        <x:v>S010</x:v>
      </x:c>
      <x:c r="B34" s="30" t="str">
        <x:v>猕猴桃+无糖酸奶</x:v>
      </x:c>
      <x:c r="C34" s="30" t="str">
        <x:v>snack</x:v>
      </x:c>
      <x:c r="D34" s="30" t="str">
        <x:v>mixed_snack</x:v>
      </x:c>
      <x:c r="E34" s="30" t="str">
        <x:v>猕猴桃100g；无糖酸奶150ml</x:v>
      </x:c>
      <x:c r="F34" s="30" t="str">
        <x:v>乳糖不耐受按耐受调整。</x:v>
      </x:c>
    </x:row>
    <x:row r="36">
      <x:c r="A36" s="91" t="str">
        <x:v>跨表营养一致性复核｜原组件值 vs Ingredient Master映射汇总</x:v>
      </x:c>
      <x:c r="B36" s="91"/>
      <x:c r="C36" s="91"/>
      <x:c r="D36" s="91"/>
      <x:c r="E36" s="91"/>
      <x:c r="F36" s="91"/>
    </x:row>
    <x:row r="37">
      <x:c r="A37" s="96" t="str">
        <x:v>component_id</x:v>
      </x:c>
      <x:c r="B37" s="96" t="str">
        <x:v>组件名称</x:v>
      </x:c>
      <x:c r="C37" s="96" t="str">
        <x:v>优先级</x:v>
      </x:c>
      <x:c r="D37" s="96" t="str">
        <x:v>差异摘要</x:v>
      </x:c>
      <x:c r="E37" s="96" t="str">
        <x:v>处理建议</x:v>
      </x:c>
      <x:c r="F37" s="96" t="str">
        <x:v>状态</x:v>
      </x:c>
    </x:row>
    <x:row r="38">
      <x:c r="A38" s="97" t="str">
        <x:v>C007</x:v>
      </x:c>
      <x:c r="B38" s="97" t="str">
        <x:v>蒸红薯基础份</x:v>
      </x:c>
      <x:c r="C38" s="97" t="str">
        <x:v>高</x:v>
      </x:c>
      <x:c r="D38" s="98" t="str">
        <x:v>原值 129kcal/P2.4/C30.2/F0.2；Master汇总 154.9kcal/P1.7/C37.0/F0.3</x:v>
      </x:c>
      <x:c r="E38" s="98" t="str">
        <x:v>核对食材条目、产品标签、重量口径与烹调油后再决定写回；不自动覆盖。</x:v>
      </x:c>
      <x:c r="F38" s="97" t="str">
        <x:v>待MDT确认</x:v>
      </x:c>
    </x:row>
    <x:row r="39">
      <x:c r="A39" s="97" t="str">
        <x:v>P003</x:v>
      </x:c>
      <x:c r="B39" s="97" t="str">
        <x:v>香草/葱姜鸡胸</x:v>
      </x:c>
      <x:c r="C39" s="97" t="str">
        <x:v>高</x:v>
      </x:c>
      <x:c r="D39" s="98" t="str">
        <x:v>原值 178kcal/P24.6/C0/F8.4；Master汇总 178.1kcal/P19.4/C2.5/F10.0</x:v>
      </x:c>
      <x:c r="E39" s="98" t="str">
        <x:v>核对食材条目、产品标签、重量口径与烹调油后再决定写回；不自动覆盖。</x:v>
      </x:c>
      <x:c r="F39" s="97" t="str">
        <x:v>待MDT确认</x:v>
      </x:c>
    </x:row>
    <x:row r="40">
      <x:c r="A40" s="97" t="str">
        <x:v>P005</x:v>
      </x:c>
      <x:c r="B40" s="97" t="str">
        <x:v>番茄炖瘦牛肉</x:v>
      </x:c>
      <x:c r="C40" s="97" t="str">
        <x:v>中</x:v>
      </x:c>
      <x:c r="D40" s="98" t="str">
        <x:v>原值 175kcal/P17.5/C6/F8.7；Master汇总 161.7kcal/P17.5/C7.0/F7.1</x:v>
      </x:c>
      <x:c r="E40" s="98" t="str">
        <x:v>核对食材条目、产品标签、重量口径与烹调油后再决定写回；不自动覆盖。</x:v>
      </x:c>
      <x:c r="F40" s="97" t="str">
        <x:v>待MDT确认</x:v>
      </x:c>
    </x:row>
    <x:row r="41">
      <x:c r="A41" s="97" t="str">
        <x:v>P006</x:v>
      </x:c>
      <x:c r="B41" s="97" t="str">
        <x:v>芹菜木耳里脊</x:v>
      </x:c>
      <x:c r="C41" s="97" t="str">
        <x:v>中</x:v>
      </x:c>
      <x:c r="D41" s="98" t="str">
        <x:v>原值 190kcal/P17.7/C6.9/F10.2；Master汇总 199.3kcal/P17.7/C7.5/F11.5</x:v>
      </x:c>
      <x:c r="E41" s="98" t="str">
        <x:v>核对食材条目、产品标签、重量口径与烹调油后再决定写回；不自动覆盖。</x:v>
      </x:c>
      <x:c r="F41" s="97" t="str">
        <x:v>待MDT确认</x:v>
      </x:c>
    </x:row>
    <x:row r="42">
      <x:c r="A42" s="97" t="str">
        <x:v>P007</x:v>
      </x:c>
      <x:c r="B42" s="97" t="str">
        <x:v>虾仁蒸蛋</x:v>
      </x:c>
      <x:c r="C42" s="97" t="str">
        <x:v>中</x:v>
      </x:c>
      <x:c r="D42" s="98" t="str">
        <x:v>原值 149kcal/P18.8/C1.5/F7.4；Master汇总 137.4kcal/P16.7/C2.3/F6.8</x:v>
      </x:c>
      <x:c r="E42" s="98" t="str">
        <x:v>核对食材条目、产品标签、重量口径与烹调油后再决定写回；不自动覆盖。</x:v>
      </x:c>
      <x:c r="F42" s="97" t="str">
        <x:v>待MDT确认</x:v>
      </x:c>
    </x:row>
    <x:row r="43">
      <x:c r="A43" s="97" t="str">
        <x:v>P008</x:v>
      </x:c>
      <x:c r="B43" s="97" t="str">
        <x:v>香菇烧北豆腐</x:v>
      </x:c>
      <x:c r="C43" s="97" t="str">
        <x:v>高</x:v>
      </x:c>
      <x:c r="D43" s="98" t="str">
        <x:v>原值 240kcal/P20.1/C8.7/F15；Master汇总 214.3kcal/P20.1/C7.2/F12.4</x:v>
      </x:c>
      <x:c r="E43" s="98" t="str">
        <x:v>核对食材条目、产品标签、重量口径与烹调油后再决定写回；不自动覆盖。</x:v>
      </x:c>
      <x:c r="F43" s="97" t="str">
        <x:v>待MDT确认</x:v>
      </x:c>
    </x:row>
    <x:row r="44">
      <x:c r="A44" s="97" t="str">
        <x:v>P010</x:v>
      </x:c>
      <x:c r="B44" s="97" t="str">
        <x:v>西兰花虾仁</x:v>
      </x:c>
      <x:c r="C44" s="97" t="str">
        <x:v>中</x:v>
      </x:c>
      <x:c r="D44" s="98" t="str">
        <x:v>原值 178kcal/P22.4/C6.6/F7.3；Master汇总 162.8kcal/P19.6/C7.6/F6.4</x:v>
      </x:c>
      <x:c r="E44" s="98" t="str">
        <x:v>核对食材条目、产品标签、重量口径与烹调油后再决定写回；不自动覆盖。</x:v>
      </x:c>
      <x:c r="F44" s="97" t="str">
        <x:v>待MDT确认</x:v>
      </x:c>
    </x:row>
    <x:row r="45">
      <x:c r="A45" s="97" t="str">
        <x:v>P011</x:v>
      </x:c>
      <x:c r="B45" s="97" t="str">
        <x:v>鸡胸彩椒</x:v>
      </x:c>
      <x:c r="C45" s="97" t="str">
        <x:v>高</x:v>
      </x:c>
      <x:c r="D45" s="98" t="str">
        <x:v>原值 190kcal/P21.2/C9/F8；Master汇总 190.6kcal/P17.5/C11.6/F9.3</x:v>
      </x:c>
      <x:c r="E45" s="98" t="str">
        <x:v>核对食材条目、产品标签、重量口径与烹调油后再决定写回；不自动覆盖。</x:v>
      </x:c>
      <x:c r="F45" s="97" t="str">
        <x:v>待MDT确认</x:v>
      </x:c>
    </x:row>
    <x:row r="46">
      <x:c r="A46" s="97" t="str">
        <x:v>P012</x:v>
      </x:c>
      <x:c r="B46" s="97" t="str">
        <x:v>牛肉西葫芦</x:v>
      </x:c>
      <x:c r="C46" s="97" t="str">
        <x:v>中</x:v>
      </x:c>
      <x:c r="D46" s="98" t="str">
        <x:v>原值 174kcal/P17.4/C5.7/F8.7；Master汇总 159.5kcal/P17.4/C6.7/F7.1</x:v>
      </x:c>
      <x:c r="E46" s="98" t="str">
        <x:v>核对食材条目、产品标签、重量口径与烹调油后再决定写回；不自动覆盖。</x:v>
      </x:c>
      <x:c r="F46" s="97" t="str">
        <x:v>待MDT确认</x:v>
      </x:c>
    </x:row>
    <x:row r="47">
      <x:c r="A47" s="97" t="str">
        <x:v>P013</x:v>
      </x:c>
      <x:c r="B47" s="97" t="str">
        <x:v>冬瓜豆腐虾仁汤</x:v>
      </x:c>
      <x:c r="C47" s="97" t="str">
        <x:v>高</x:v>
      </x:c>
      <x:c r="D47" s="98" t="str">
        <x:v>原值 208kcal/P23.2/C8.3/F9.8；Master汇总 181.8kcal/P21.4/C8.0/F7.5</x:v>
      </x:c>
      <x:c r="E47" s="98" t="str">
        <x:v>核对食材条目、产品标签、重量口径与烹调油后再决定写回；不自动覆盖。</x:v>
      </x:c>
      <x:c r="F47" s="97" t="str">
        <x:v>待MDT确认</x:v>
      </x:c>
    </x:row>
    <x:row r="48">
      <x:c r="A48" s="97" t="str">
        <x:v>P014</x:v>
      </x:c>
      <x:c r="B48" s="97" t="str">
        <x:v>鸡蛋豆腐羹</x:v>
      </x:c>
      <x:c r="C48" s="97" t="str">
        <x:v>中</x:v>
      </x:c>
      <x:c r="D48" s="98" t="str">
        <x:v>原值 206kcal/P18.9/C4.4/F12.9；Master汇总 188.8kcal/P18.9/C3.4/F11.2</x:v>
      </x:c>
      <x:c r="E48" s="98" t="str">
        <x:v>核对食材条目、产品标签、重量口径与烹调油后再决定写回；不自动覆盖。</x:v>
      </x:c>
      <x:c r="F48" s="97" t="str">
        <x:v>待MDT确认</x:v>
      </x:c>
    </x:row>
    <x:row r="49">
      <x:c r="A49" s="97" t="str">
        <x:v>P015</x:v>
      </x:c>
      <x:c r="B49" s="97" t="str">
        <x:v>低脂奶蛋组合</x:v>
      </x:c>
      <x:c r="C49" s="97" t="str">
        <x:v>中</x:v>
      </x:c>
      <x:c r="D49" s="98" t="str">
        <x:v>原值 187kcal/P14.9/C13.4/F8.2；Master汇总 180.3kcal/P13.9/C13.9/F7.7</x:v>
      </x:c>
      <x:c r="E49" s="98" t="str">
        <x:v>核对食材条目、产品标签、重量口径与烹调油后再决定写回；不自动覆盖。</x:v>
      </x:c>
      <x:c r="F49" s="97" t="str">
        <x:v>待MDT确认</x:v>
      </x:c>
    </x:row>
    <x:row r="50">
      <x:c r="A50" s="97" t="str">
        <x:v>V011</x:v>
      </x:c>
      <x:c r="B50" s="97" t="str">
        <x:v>生菜番茄沙拉（中式清拌）</x:v>
      </x:c>
      <x:c r="C50" s="97" t="str">
        <x:v>中</x:v>
      </x:c>
      <x:c r="D50" s="98" t="str">
        <x:v>原值 81kcal/P3.3/C10.3/F3.6；Master汇总 79.8kcal/P3.3/C9.0/F3.8</x:v>
      </x:c>
      <x:c r="E50" s="98" t="str">
        <x:v>核对食材条目、产品标签、重量口径与烹调油后再决定写回；不自动覆盖。</x:v>
      </x:c>
      <x:c r="F50" s="97" t="str">
        <x:v>待MDT确认</x:v>
      </x:c>
    </x:row>
    <x:row r="51">
      <x:c r="A51" s="97" t="str">
        <x:v>S001</x:v>
      </x:c>
      <x:c r="B51" s="97" t="str">
        <x:v>低脂奶+苹果</x:v>
      </x:c>
      <x:c r="C51" s="97" t="str">
        <x:v>中</x:v>
      </x:c>
      <x:c r="D51" s="98" t="str">
        <x:v>原值 156kcal/P7.1/C26/F3.2；Master汇总 152.6kcal/P6.0/C26.2/F2.8</x:v>
      </x:c>
      <x:c r="E51" s="98" t="str">
        <x:v>核对食材条目、产品标签、重量口径与烹调油后再决定写回；不自动覆盖。</x:v>
      </x:c>
      <x:c r="F51" s="97" t="str">
        <x:v>待MDT确认</x:v>
      </x:c>
    </x:row>
    <x:row r="52">
      <x:c r="A52" s="97" t="str">
        <x:v>S002</x:v>
      </x:c>
      <x:c r="B52" s="97" t="str">
        <x:v>无糖酸奶+草莓</x:v>
      </x:c>
      <x:c r="C52" s="97" t="str">
        <x:v>高</x:v>
      </x:c>
      <x:c r="D52" s="98" t="str">
        <x:v>原值 141kcal/P6.7/C19.1/F5；Master汇总 156.3kcal/P5.3/C24.6/F4.4</x:v>
      </x:c>
      <x:c r="E52" s="98" t="str">
        <x:v>核对食材条目、产品标签、重量口径与烹调油后再决定写回；不自动覆盖。</x:v>
      </x:c>
      <x:c r="F52" s="97" t="str">
        <x:v>待MDT确认</x:v>
      </x:c>
    </x:row>
    <x:row r="53">
      <x:c r="A53" s="97" t="str">
        <x:v>S003</x:v>
      </x:c>
      <x:c r="B53" s="97" t="str">
        <x:v>无糖豆浆+梨</x:v>
      </x:c>
      <x:c r="C53" s="97" t="str">
        <x:v>高</x:v>
      </x:c>
      <x:c r="D53" s="98" t="str">
        <x:v>原值 139kcal/P8/C18.7/F4.1；Master汇总 99.6kcal/P5.0/C18.7/F2.0</x:v>
      </x:c>
      <x:c r="E53" s="98" t="str">
        <x:v>核对食材条目、产品标签、重量口径与烹调油后再决定写回；不自动覆盖。</x:v>
      </x:c>
      <x:c r="F53" s="97" t="str">
        <x:v>待MDT确认</x:v>
      </x:c>
    </x:row>
    <x:row r="54">
      <x:c r="A54" s="97" t="str">
        <x:v>S005</x:v>
      </x:c>
      <x:c r="B54" s="97" t="str">
        <x:v>无糖酸奶+核桃</x:v>
      </x:c>
      <x:c r="C54" s="97" t="str">
        <x:v>高</x:v>
      </x:c>
      <x:c r="D54" s="98" t="str">
        <x:v>原值 158kcal/P7.2/C8.8/F10.4；Master汇总 171.6kcal/P5.2/C15.9/F9.9</x:v>
      </x:c>
      <x:c r="E54" s="98" t="str">
        <x:v>核对食材条目、产品标签、重量口径与烹调油后再决定写回；不自动覆盖。</x:v>
      </x:c>
      <x:c r="F54" s="97" t="str">
        <x:v>待MDT确认</x:v>
      </x:c>
    </x:row>
    <x:row r="55">
      <x:c r="A55" s="97" t="str">
        <x:v>S010</x:v>
      </x:c>
      <x:c r="B55" s="97" t="str">
        <x:v>猕猴桃+无糖酸奶</x:v>
      </x:c>
      <x:c r="C55" s="97" t="str">
        <x:v>高</x:v>
      </x:c>
      <x:c r="D55" s="98" t="str">
        <x:v>原值 154kcal/P6.8/C22/F5；Master汇总 169.8kcal/P4.5/C28.5/F4.7</x:v>
      </x:c>
      <x:c r="E55" s="98" t="str">
        <x:v>核对食材条目、产品标签、重量口径与烹调油后再决定写回；不自动覆盖。</x:v>
      </x:c>
      <x:c r="F55" s="97" t="str">
        <x:v>待MDT确认</x:v>
      </x:c>
    </x:row>
    <x:row r="56">
      <x:c r="A56" s="88" t="str">
        <x:v>阈值：能量差&gt;5 kcal，或蛋白/碳水/脂肪任一差&gt;1 g。差异不等于原值错误，可能来自食材身份、数据库版本、产品标签或生熟重口径不同。</x:v>
      </x:c>
      <x:c r="B56" s="88"/>
      <x:c r="C56" s="88"/>
      <x:c r="D56" s="88"/>
      <x:c r="E56" s="88"/>
      <x:c r="F56" s="88"/>
    </x:row>
  </x:sheetData>
  <x:mergeCells>
    <x:mergeCell ref="A1:F1"/>
    <x:mergeCell ref="A2:F2"/>
    <x:mergeCell ref="A11:F11"/>
    <x:mergeCell ref="A36:F36"/>
    <x:mergeCell ref="A56:F56"/>
  </x:mergeCells>
  <x:conditionalFormatting sqref="C38:C55">
    <x:cfRule type="expression" dxfId="2" priority="1">
      <x:formula>C38="高"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55" hidden="0" customWidth="1"/>
  </x:cols>
  <x:sheetData>
    <x:row r="1">
      <x:c r="A1" s="5" t="str">
        <x:v>填写说明｜建议MDT实际只完成三步</x:v>
      </x:c>
      <x:c r="B1" s="5"/>
      <x:c r="C1" s="5"/>
      <x:c r="D1" s="5"/>
    </x:row>
    <x:row r="2">
      <x:c r="A2" s="14" t="str">
        <x:v>核心原则：不重复抄录已有数据；只确认“重量口径 + 可调整份量边界 + D/E适用性/必要疾病适配”。</x:v>
      </x:c>
      <x:c r="B2" s="14"/>
      <x:c r="C2" s="14"/>
      <x:c r="D2" s="14"/>
    </x:row>
    <x:row r="4">
      <x:c r="A4" s="24" t="str">
        <x:v>优先级</x:v>
      </x:c>
      <x:c r="B4" s="24" t="str">
        <x:v>需要填写什么</x:v>
      </x:c>
      <x:c r="C4" s="24" t="str">
        <x:v>谁填写</x:v>
      </x:c>
      <x:c r="D4" s="24" t="str">
        <x:v>说明</x:v>
      </x:c>
    </x:row>
    <x:row r="5">
      <x:c r="A5" s="30" t="str">
        <x:v>第1步｜必填</x:v>
      </x:c>
      <x:c r="B5" s="30" t="str">
        <x:v>重量口径、份量调整口径、份量下限、份量上限、调整步长</x:v>
      </x:c>
      <x:c r="C5" s="30" t="str">
        <x:v>营养师/MDT</x:v>
      </x:c>
      <x:c r="D5" s="30" t="str">
        <x:v>V1.3版本状态：49/49组件完成份量执行边界与合法scale判定；来源与规则修订以V1.3资产为准。</x:v>
      </x:c>
    </x:row>
    <x:row r="6">
      <x:c r="A6" s="30" t="str">
        <x:v>第2步｜重点</x:v>
      </x:c>
      <x:c r="B6" s="30" t="str">
        <x:v>D型适用性、E型适用性、D/E备注</x:v>
      </x:c>
      <x:c r="C6" s="30" t="str">
        <x:v>营养师/MDT</x:v>
      </x:c>
      <x:c r="D6" s="30" t="str">
        <x:v>优先处理主食和加餐；蛋白目标目前基本可达，主要问题是能量闭合。</x:v>
      </x:c>
    </x:row>
    <x:row r="7">
      <x:c r="A7" s="30" t="str">
        <x:v>第3步｜按需</x:v>
      </x:c>
      <x:c r="B7" s="30" t="str">
        <x:v>疾病适配确认</x:v>
      </x:c>
      <x:c r="C7" s="30" t="str">
        <x:v>营养/内分泌等</x:v>
      </x:c>
      <x:c r="D7" s="30" t="str">
        <x:v>只复核已有规则或存在明确疾病限制的组件，不要求49×5全部重填。</x:v>
      </x:c>
    </x:row>
    <x:row r="8">
      <x:c r="A8" s="30" t="str">
        <x:v>只需确认</x:v>
      </x:c>
      <x:c r="B8" s="30" t="str">
        <x:v>基础份量是否确认</x:v>
      </x:c>
      <x:c r="C8" s="30" t="str">
        <x:v>营养师/MDT</x:v>
      </x:c>
      <x:c r="D8" s="30" t="str">
        <x:v>49/49已有基础份量，不需要重新抄写；只有错误时才填“基础份量修正”。</x:v>
      </x:c>
    </x:row>
    <x:row r="9">
      <x:c r="A9" s="30" t="str">
        <x:v>仅15项重点</x:v>
      </x:c>
      <x:c r="B9" s="30" t="str">
        <x:v>子类别确认/修正</x:v>
      </x:c>
      <x:c r="C9" s="30" t="str">
        <x:v>营养师/MDT</x:v>
      </x:c>
      <x:c r="D9" s="30" t="str">
        <x:v>当前15项为unknown；其余已有子类别可直接核对。</x:v>
      </x:c>
    </x:row>
    <x:row r="10">
      <x:c r="A10" s="30"/>
      <x:c r="B10" s="30"/>
      <x:c r="C10" s="30"/>
      <x:c r="D10" s="30"/>
    </x:row>
    <x:row r="11">
      <x:c r="A11" s="24" t="str">
        <x:v>颜色说明</x:v>
      </x:c>
      <x:c r="B11" s="24" t="str">
        <x:v>含义</x:v>
      </x:c>
      <x:c r="C11" s="24" t="str"/>
      <x:c r="D11" s="24" t="str"/>
    </x:row>
    <x:row r="12">
      <x:c r="A12" s="30" t="str">
        <x:v>黄色</x:v>
      </x:c>
      <x:c r="B12" s="30" t="str">
        <x:v>本轮必填字段</x:v>
      </x:c>
      <x:c r="C12" s="30" t="str"/>
      <x:c r="D12" s="30" t="str"/>
    </x:row>
    <x:row r="13">
      <x:c r="A13" s="30" t="str">
        <x:v>橙色</x:v>
      </x:c>
      <x:c r="B13" s="30" t="str">
        <x:v>D/E营养恢复重点审核</x:v>
      </x:c>
      <x:c r="C13" s="30" t="str"/>
      <x:c r="D13" s="30" t="str"/>
    </x:row>
    <x:row r="14">
      <x:c r="A14" s="30" t="str">
        <x:v>绿色</x:v>
      </x:c>
      <x:c r="B14" s="30" t="str">
        <x:v>审核签字/状态</x:v>
      </x:c>
      <x:c r="C14" s="30" t="str"/>
      <x:c r="D14" s="30" t="str"/>
    </x:row>
    <x:row r="15">
      <x:c r="A15" s="30" t="str">
        <x:v>红色边框提示</x:v>
      </x:c>
      <x:c r="B15" s="30" t="str">
        <x:v>当前子类别unknown，优先确认</x:v>
      </x:c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10" hidden="0" customWidth="1"/>
    <x:col min="5" max="5" width="22" hidden="0" customWidth="1"/>
    <x:col min="6" max="6" width="10" hidden="0" customWidth="1"/>
    <x:col min="7" max="7" width="8" hidden="0" customWidth="1"/>
    <x:col min="8" max="8" width="26" hidden="0" customWidth="1"/>
    <x:col min="9" max="9" width="12" hidden="0" customWidth="1"/>
    <x:col min="10" max="10" width="12" hidden="0" customWidth="1"/>
    <x:col min="11" max="11" width="38" hidden="0" customWidth="1"/>
    <x:col min="12" max="12" width="12" hidden="0" customWidth="1"/>
    <x:col min="13" max="13" width="44" hidden="0" customWidth="1"/>
    <x:col min="14" max="14" width="18" hidden="0" customWidth="1"/>
  </x:cols>
  <x:sheetData>
    <x:row r="1">
      <x:c r="A1" s="79" t="str">
        <x:v>component_id</x:v>
      </x:c>
      <x:c r="B1" s="79" t="str">
        <x:v>组件名称</x:v>
      </x:c>
      <x:c r="C1" s="79" t="str">
        <x:v>调整模式</x:v>
      </x:c>
      <x:c r="D1" s="79" t="str">
        <x:v>内部scale</x:v>
      </x:c>
      <x:c r="E1" s="79" t="str">
        <x:v>原料</x:v>
      </x:c>
      <x:c r="F1" s="79" t="str">
        <x:v>base量</x:v>
      </x:c>
      <x:c r="G1" s="79" t="str">
        <x:v>单位</x:v>
      </x:c>
      <x:c r="H1" s="79" t="str">
        <x:v>重量口径</x:v>
      </x:c>
      <x:c r="I1" s="79" t="str">
        <x:v>执行步长</x:v>
      </x:c>
      <x:c r="J1" s="79" t="str">
        <x:v>算法量</x:v>
      </x:c>
      <x:c r="K1" s="79" t="str">
        <x:v>候选可执行显示</x:v>
      </x:c>
      <x:c r="L1" s="79" t="str">
        <x:v>允许该scale</x:v>
      </x:c>
      <x:c r="M1" s="79" t="str">
        <x:v>说明</x:v>
      </x:c>
      <x:c r="N1" s="79" t="str">
        <x:v>执行量候选数值（公式）</x:v>
      </x:c>
    </x:row>
    <x:row r="2">
      <x:c r="A2" s="30" t="str">
        <x:v>C001</x:v>
      </x:c>
      <x:c r="B2" s="30" t="str">
        <x:v>白米饭基础份</x:v>
      </x:c>
      <x:c r="C2" s="30" t="str">
        <x:v>LINEAR_WITH_EXECUTION_ROUNDING</x:v>
      </x:c>
      <x:c r="D2" s="30" t="n">
        <x:v>0.5</x:v>
      </x:c>
      <x:c r="E2" s="30" t="str">
        <x:v>大米</x:v>
      </x:c>
      <x:c r="F2" s="30" t="n">
        <x:v>50</x:v>
      </x:c>
      <x:c r="G2" s="30" t="str">
        <x:v>g</x:v>
      </x:c>
      <x:c r="H2" s="30" t="str">
        <x:v>dry_weight</x:v>
      </x:c>
      <x:c r="I2" s="30" t="n">
        <x:v>5</x:v>
      </x:c>
      <x:c r="J2" s="30" t="n">
        <x:v>25</x:v>
      </x:c>
      <x:c r="K2" s="30" t="str">
        <x:v>大米25g</x:v>
      </x:c>
      <x:c r="L2" s="76" t="b">
        <x:v>1</x:v>
      </x:c>
      <x:c r="M2" s="30" t="str">
        <x:v>已按MDT确认的Ingredient Master min/max/step执行化；执行量变化后必须重算营养。</x:v>
      </x:c>
      <x:c r="N2" s="30" t="n">
        <x:v>25</x:v>
      </x:c>
    </x:row>
    <x:row r="3">
      <x:c r="A3" s="30" t="str">
        <x:v>C001</x:v>
      </x:c>
      <x:c r="B3" s="30" t="str">
        <x:v>白米饭基础份</x:v>
      </x:c>
      <x:c r="C3" s="30" t="str">
        <x:v>LINEAR_WITH_EXECUTION_ROUNDING</x:v>
      </x:c>
      <x:c r="D3" s="30" t="n">
        <x:v>0.75</x:v>
      </x:c>
      <x:c r="E3" s="30" t="str">
        <x:v>大米</x:v>
      </x:c>
      <x:c r="F3" s="30" t="n">
        <x:v>50</x:v>
      </x:c>
      <x:c r="G3" s="30" t="str">
        <x:v>g</x:v>
      </x:c>
      <x:c r="H3" s="30" t="str">
        <x:v>dry_weight</x:v>
      </x:c>
      <x:c r="I3" s="30" t="n">
        <x:v>5</x:v>
      </x:c>
      <x:c r="J3" s="30" t="n">
        <x:v>37.5</x:v>
      </x:c>
      <x:c r="K3" s="30" t="str">
        <x:v>大米40g</x:v>
      </x:c>
      <x:c r="L3" s="76" t="b">
        <x:v>1</x:v>
      </x:c>
      <x:c r="M3" s="30" t="str">
        <x:v>已按MDT确认的Ingredient Master min/max/step执行化；执行量变化后必须重算营养。</x:v>
      </x:c>
      <x:c r="N3" s="30" t="n">
        <x:v>40</x:v>
      </x:c>
    </x:row>
    <x:row r="4">
      <x:c r="A4" s="30" t="str">
        <x:v>C001</x:v>
      </x:c>
      <x:c r="B4" s="30" t="str">
        <x:v>白米饭基础份</x:v>
      </x:c>
      <x:c r="C4" s="30" t="str">
        <x:v>LINEAR_WITH_EXECUTION_ROUNDING</x:v>
      </x:c>
      <x:c r="D4" s="30" t="n">
        <x:v>1</x:v>
      </x:c>
      <x:c r="E4" s="30" t="str">
        <x:v>大米</x:v>
      </x:c>
      <x:c r="F4" s="30" t="n">
        <x:v>50</x:v>
      </x:c>
      <x:c r="G4" s="30" t="str">
        <x:v>g</x:v>
      </x:c>
      <x:c r="H4" s="30" t="str">
        <x:v>dry_weight</x:v>
      </x:c>
      <x:c r="I4" s="30" t="n">
        <x:v>5</x:v>
      </x:c>
      <x:c r="J4" s="30" t="n">
        <x:v>50</x:v>
      </x:c>
      <x:c r="K4" s="30" t="str">
        <x:v>大米50g</x:v>
      </x:c>
      <x:c r="L4" s="76" t="b">
        <x:v>1</x:v>
      </x:c>
      <x:c r="M4" s="30" t="str">
        <x:v>已按MDT确认的Ingredient Master min/max/step执行化；执行量变化后必须重算营养。</x:v>
      </x:c>
      <x:c r="N4" s="30" t="n">
        <x:v>50</x:v>
      </x:c>
    </x:row>
    <x:row r="5">
      <x:c r="A5" s="30" t="str">
        <x:v>C001</x:v>
      </x:c>
      <x:c r="B5" s="30" t="str">
        <x:v>白米饭基础份</x:v>
      </x:c>
      <x:c r="C5" s="30" t="str">
        <x:v>LINEAR_WITH_EXECUTION_ROUNDING</x:v>
      </x:c>
      <x:c r="D5" s="30" t="n">
        <x:v>1.25</x:v>
      </x:c>
      <x:c r="E5" s="30" t="str">
        <x:v>大米</x:v>
      </x:c>
      <x:c r="F5" s="30" t="n">
        <x:v>50</x:v>
      </x:c>
      <x:c r="G5" s="30" t="str">
        <x:v>g</x:v>
      </x:c>
      <x:c r="H5" s="30" t="str">
        <x:v>dry_weight</x:v>
      </x:c>
      <x:c r="I5" s="30" t="n">
        <x:v>5</x:v>
      </x:c>
      <x:c r="J5" s="30" t="n">
        <x:v>62.5</x:v>
      </x:c>
      <x:c r="K5" s="30" t="str">
        <x:v>大米65g</x:v>
      </x:c>
      <x:c r="L5" s="76" t="b">
        <x:v>1</x:v>
      </x:c>
      <x:c r="M5" s="30" t="str">
        <x:v>已按MDT确认的Ingredient Master min/max/step执行化；执行量变化后必须重算营养。</x:v>
      </x:c>
      <x:c r="N5" s="30" t="n">
        <x:v>65</x:v>
      </x:c>
    </x:row>
    <x:row r="6">
      <x:c r="A6" s="30" t="str">
        <x:v>C001</x:v>
      </x:c>
      <x:c r="B6" s="30" t="str">
        <x:v>白米饭基础份</x:v>
      </x:c>
      <x:c r="C6" s="30" t="str">
        <x:v>LINEAR_WITH_EXECUTION_ROUNDING</x:v>
      </x:c>
      <x:c r="D6" s="30" t="n">
        <x:v>1.5</x:v>
      </x:c>
      <x:c r="E6" s="30" t="str">
        <x:v>大米</x:v>
      </x:c>
      <x:c r="F6" s="30" t="n">
        <x:v>50</x:v>
      </x:c>
      <x:c r="G6" s="30" t="str">
        <x:v>g</x:v>
      </x:c>
      <x:c r="H6" s="30" t="str">
        <x:v>dry_weight</x:v>
      </x:c>
      <x:c r="I6" s="30" t="n">
        <x:v>5</x:v>
      </x:c>
      <x:c r="J6" s="30" t="n">
        <x:v>75</x:v>
      </x:c>
      <x:c r="K6" s="30" t="str">
        <x:v>大米75g</x:v>
      </x:c>
      <x:c r="L6" s="76" t="b">
        <x:v>1</x:v>
      </x:c>
      <x:c r="M6" s="30" t="str">
        <x:v>已按MDT确认的Ingredient Master min/max/step执行化；执行量变化后必须重算营养。</x:v>
      </x:c>
      <x:c r="N6" s="30" t="n">
        <x:v>75</x:v>
      </x:c>
    </x:row>
    <x:row r="7">
      <x:c r="A7" s="30" t="str">
        <x:v>C002</x:v>
      </x:c>
      <x:c r="B7" s="30" t="str">
        <x:v>糙米饭基础份</x:v>
      </x:c>
      <x:c r="C7" s="30" t="str">
        <x:v>LINEAR_WITH_EXECUTION_ROUNDING</x:v>
      </x:c>
      <x:c r="D7" s="30" t="n">
        <x:v>0.5</x:v>
      </x:c>
      <x:c r="E7" s="30" t="str">
        <x:v>糙米</x:v>
      </x:c>
      <x:c r="F7" s="30" t="n">
        <x:v>50</x:v>
      </x:c>
      <x:c r="G7" s="30" t="str">
        <x:v>g</x:v>
      </x:c>
      <x:c r="H7" s="30" t="str">
        <x:v>dry_weight</x:v>
      </x:c>
      <x:c r="I7" s="30" t="n">
        <x:v>5</x:v>
      </x:c>
      <x:c r="J7" s="30" t="n">
        <x:v>25</x:v>
      </x:c>
      <x:c r="K7" s="30" t="str">
        <x:v>糙米25g</x:v>
      </x:c>
      <x:c r="L7" s="76" t="b">
        <x:v>1</x:v>
      </x:c>
      <x:c r="M7" s="30" t="str">
        <x:v>已按MDT确认的Ingredient Master min/max/step执行化；执行量变化后必须重算营养。</x:v>
      </x:c>
      <x:c r="N7" s="30" t="n">
        <x:v>25</x:v>
      </x:c>
    </x:row>
    <x:row r="8">
      <x:c r="A8" s="30" t="str">
        <x:v>C002</x:v>
      </x:c>
      <x:c r="B8" s="30" t="str">
        <x:v>糙米饭基础份</x:v>
      </x:c>
      <x:c r="C8" s="30" t="str">
        <x:v>LINEAR_WITH_EXECUTION_ROUNDING</x:v>
      </x:c>
      <x:c r="D8" s="30" t="n">
        <x:v>0.75</x:v>
      </x:c>
      <x:c r="E8" s="30" t="str">
        <x:v>糙米</x:v>
      </x:c>
      <x:c r="F8" s="30" t="n">
        <x:v>50</x:v>
      </x:c>
      <x:c r="G8" s="30" t="str">
        <x:v>g</x:v>
      </x:c>
      <x:c r="H8" s="30" t="str">
        <x:v>dry_weight</x:v>
      </x:c>
      <x:c r="I8" s="30" t="n">
        <x:v>5</x:v>
      </x:c>
      <x:c r="J8" s="30" t="n">
        <x:v>37.5</x:v>
      </x:c>
      <x:c r="K8" s="30" t="str">
        <x:v>糙米40g</x:v>
      </x:c>
      <x:c r="L8" s="76" t="b">
        <x:v>1</x:v>
      </x:c>
      <x:c r="M8" s="30" t="str">
        <x:v>已按MDT确认的Ingredient Master min/max/step执行化；执行量变化后必须重算营养。</x:v>
      </x:c>
      <x:c r="N8" s="30" t="n">
        <x:v>40</x:v>
      </x:c>
    </x:row>
    <x:row r="9">
      <x:c r="A9" s="30" t="str">
        <x:v>C002</x:v>
      </x:c>
      <x:c r="B9" s="30" t="str">
        <x:v>糙米饭基础份</x:v>
      </x:c>
      <x:c r="C9" s="30" t="str">
        <x:v>LINEAR_WITH_EXECUTION_ROUNDING</x:v>
      </x:c>
      <x:c r="D9" s="30" t="n">
        <x:v>1</x:v>
      </x:c>
      <x:c r="E9" s="30" t="str">
        <x:v>糙米</x:v>
      </x:c>
      <x:c r="F9" s="30" t="n">
        <x:v>50</x:v>
      </x:c>
      <x:c r="G9" s="30" t="str">
        <x:v>g</x:v>
      </x:c>
      <x:c r="H9" s="30" t="str">
        <x:v>dry_weight</x:v>
      </x:c>
      <x:c r="I9" s="30" t="n">
        <x:v>5</x:v>
      </x:c>
      <x:c r="J9" s="30" t="n">
        <x:v>50</x:v>
      </x:c>
      <x:c r="K9" s="30" t="str">
        <x:v>糙米50g</x:v>
      </x:c>
      <x:c r="L9" s="76" t="b">
        <x:v>1</x:v>
      </x:c>
      <x:c r="M9" s="30" t="str">
        <x:v>已按MDT确认的Ingredient Master min/max/step执行化；执行量变化后必须重算营养。</x:v>
      </x:c>
      <x:c r="N9" s="30" t="n">
        <x:v>50</x:v>
      </x:c>
    </x:row>
    <x:row r="10">
      <x:c r="A10" s="30" t="str">
        <x:v>C002</x:v>
      </x:c>
      <x:c r="B10" s="30" t="str">
        <x:v>糙米饭基础份</x:v>
      </x:c>
      <x:c r="C10" s="30" t="str">
        <x:v>LINEAR_WITH_EXECUTION_ROUNDING</x:v>
      </x:c>
      <x:c r="D10" s="30" t="n">
        <x:v>1.25</x:v>
      </x:c>
      <x:c r="E10" s="30" t="str">
        <x:v>糙米</x:v>
      </x:c>
      <x:c r="F10" s="30" t="n">
        <x:v>50</x:v>
      </x:c>
      <x:c r="G10" s="30" t="str">
        <x:v>g</x:v>
      </x:c>
      <x:c r="H10" s="30" t="str">
        <x:v>dry_weight</x:v>
      </x:c>
      <x:c r="I10" s="30" t="n">
        <x:v>5</x:v>
      </x:c>
      <x:c r="J10" s="30" t="n">
        <x:v>62.5</x:v>
      </x:c>
      <x:c r="K10" s="30" t="str">
        <x:v>糙米65g</x:v>
      </x:c>
      <x:c r="L10" s="76" t="b">
        <x:v>1</x:v>
      </x:c>
      <x:c r="M10" s="30" t="str">
        <x:v>已按MDT确认的Ingredient Master min/max/step执行化；执行量变化后必须重算营养。</x:v>
      </x:c>
      <x:c r="N10" s="30" t="n">
        <x:v>65</x:v>
      </x:c>
    </x:row>
    <x:row r="11">
      <x:c r="A11" s="30" t="str">
        <x:v>C002</x:v>
      </x:c>
      <x:c r="B11" s="30" t="str">
        <x:v>糙米饭基础份</x:v>
      </x:c>
      <x:c r="C11" s="30" t="str">
        <x:v>LINEAR_WITH_EXECUTION_ROUNDING</x:v>
      </x:c>
      <x:c r="D11" s="30" t="n">
        <x:v>1.5</x:v>
      </x:c>
      <x:c r="E11" s="30" t="str">
        <x:v>糙米</x:v>
      </x:c>
      <x:c r="F11" s="30" t="n">
        <x:v>50</x:v>
      </x:c>
      <x:c r="G11" s="30" t="str">
        <x:v>g</x:v>
      </x:c>
      <x:c r="H11" s="30" t="str">
        <x:v>dry_weight</x:v>
      </x:c>
      <x:c r="I11" s="30" t="n">
        <x:v>5</x:v>
      </x:c>
      <x:c r="J11" s="30" t="n">
        <x:v>75</x:v>
      </x:c>
      <x:c r="K11" s="30" t="str">
        <x:v>糙米75g</x:v>
      </x:c>
      <x:c r="L11" s="76" t="b">
        <x:v>1</x:v>
      </x:c>
      <x:c r="M11" s="30" t="str">
        <x:v>已按MDT确认的Ingredient Master min/max/step执行化；执行量变化后必须重算营养。</x:v>
      </x:c>
      <x:c r="N11" s="30" t="n">
        <x:v>75</x:v>
      </x:c>
    </x:row>
    <x:row r="12">
      <x:c r="A12" s="30" t="str">
        <x:v>C003</x:v>
      </x:c>
      <x:c r="B12" s="30" t="str">
        <x:v>杂粮饭基础份</x:v>
      </x:c>
      <x:c r="C12" s="30" t="str">
        <x:v>LINEAR_WITH_EXECUTION_ROUNDING</x:v>
      </x:c>
      <x:c r="D12" s="30" t="n">
        <x:v>0.5</x:v>
      </x:c>
      <x:c r="E12" s="30" t="str">
        <x:v>大米</x:v>
      </x:c>
      <x:c r="F12" s="30" t="n">
        <x:v>35</x:v>
      </x:c>
      <x:c r="G12" s="30" t="str">
        <x:v>g</x:v>
      </x:c>
      <x:c r="H12" s="30" t="str">
        <x:v>dry_weight</x:v>
      </x:c>
      <x:c r="I12" s="30" t="n">
        <x:v>5</x:v>
      </x:c>
      <x:c r="J12" s="30" t="n">
        <x:v>17.5</x:v>
      </x:c>
      <x:c r="K12" s="30" t="str">
        <x:v>大米20g</x:v>
      </x:c>
      <x:c r="L12" s="76" t="b">
        <x:v>1</x:v>
      </x:c>
      <x:c r="M12" s="30" t="str">
        <x:v>已按MDT确认的Ingredient Master min/max/step执行化；执行量变化后必须重算营养。</x:v>
      </x:c>
      <x:c r="N12" s="30" t="n">
        <x:v>20</x:v>
      </x:c>
    </x:row>
    <x:row r="13">
      <x:c r="A13" s="30" t="str">
        <x:v>C003</x:v>
      </x:c>
      <x:c r="B13" s="30" t="str">
        <x:v>杂粮饭基础份</x:v>
      </x:c>
      <x:c r="C13" s="30" t="str">
        <x:v>LINEAR_WITH_EXECUTION_ROUNDING</x:v>
      </x:c>
      <x:c r="D13" s="30" t="n">
        <x:v>0.5</x:v>
      </x:c>
      <x:c r="E13" s="30" t="str">
        <x:v>糙米</x:v>
      </x:c>
      <x:c r="F13" s="30" t="n">
        <x:v>15</x:v>
      </x:c>
      <x:c r="G13" s="30" t="str">
        <x:v>g</x:v>
      </x:c>
      <x:c r="H13" s="30" t="str">
        <x:v>dry_weight</x:v>
      </x:c>
      <x:c r="I13" s="30" t="n">
        <x:v>5</x:v>
      </x:c>
      <x:c r="J13" s="30" t="n">
        <x:v>7.5</x:v>
      </x:c>
      <x:c r="K13" s="30" t="str">
        <x:v>该scale超出Ingredient Master执行边界</x:v>
      </x:c>
      <x:c r="L13" s="76" t="b">
        <x:v>0</x:v>
      </x:c>
      <x:c r="M13" s="30" t="str">
        <x:v>禁止该scale；不得为保留统一0.5/0.75/1.25/1.5而突破基础食材边界。</x:v>
      </x:c>
      <x:c r="N13" s="30"/>
    </x:row>
    <x:row r="14">
      <x:c r="A14" s="30" t="str">
        <x:v>C003</x:v>
      </x:c>
      <x:c r="B14" s="30" t="str">
        <x:v>杂粮饭基础份</x:v>
      </x:c>
      <x:c r="C14" s="30" t="str">
        <x:v>LINEAR_WITH_EXECUTION_ROUNDING</x:v>
      </x:c>
      <x:c r="D14" s="30" t="n">
        <x:v>0.5</x:v>
      </x:c>
      <x:c r="E14" s="30" t="str">
        <x:v>赤小豆干</x:v>
      </x:c>
      <x:c r="F14" s="30" t="n">
        <x:v>10</x:v>
      </x:c>
      <x:c r="G14" s="30" t="str">
        <x:v>g</x:v>
      </x:c>
      <x:c r="H14" s="30" t="str">
        <x:v>dry_weight</x:v>
      </x:c>
      <x:c r="I14" s="30" t="n">
        <x:v>5</x:v>
      </x:c>
      <x:c r="J14" s="30" t="n">
        <x:v>5</x:v>
      </x:c>
      <x:c r="K14" s="30" t="str">
        <x:v>赤小豆干5g</x:v>
      </x:c>
      <x:c r="L14" s="76" t="b">
        <x:v>1</x:v>
      </x:c>
      <x:c r="M14" s="30" t="str">
        <x:v>已按MDT确认的Ingredient Master min/max/step执行化；执行量变化后必须重算营养。</x:v>
      </x:c>
      <x:c r="N14" s="30" t="n">
        <x:v>5</x:v>
      </x:c>
    </x:row>
    <x:row r="15">
      <x:c r="A15" s="30" t="str">
        <x:v>C003</x:v>
      </x:c>
      <x:c r="B15" s="30" t="str">
        <x:v>杂粮饭基础份</x:v>
      </x:c>
      <x:c r="C15" s="30" t="str">
        <x:v>LINEAR_WITH_EXECUTION_ROUNDING</x:v>
      </x:c>
      <x:c r="D15" s="30" t="n">
        <x:v>0.75</x:v>
      </x:c>
      <x:c r="E15" s="30" t="str">
        <x:v>大米</x:v>
      </x:c>
      <x:c r="F15" s="30" t="n">
        <x:v>35</x:v>
      </x:c>
      <x:c r="G15" s="30" t="str">
        <x:v>g</x:v>
      </x:c>
      <x:c r="H15" s="30" t="str">
        <x:v>dry_weight</x:v>
      </x:c>
      <x:c r="I15" s="30" t="n">
        <x:v>5</x:v>
      </x:c>
      <x:c r="J15" s="30" t="n">
        <x:v>26.25</x:v>
      </x:c>
      <x:c r="K15" s="30" t="str">
        <x:v>大米25g</x:v>
      </x:c>
      <x:c r="L15" s="76" t="b">
        <x:v>1</x:v>
      </x:c>
      <x:c r="M15" s="30" t="str">
        <x:v>已按MDT确认的Ingredient Master min/max/step执行化；执行量变化后必须重算营养。</x:v>
      </x:c>
      <x:c r="N15" s="30" t="n">
        <x:v>25</x:v>
      </x:c>
    </x:row>
    <x:row r="16">
      <x:c r="A16" s="30" t="str">
        <x:v>C003</x:v>
      </x:c>
      <x:c r="B16" s="30" t="str">
        <x:v>杂粮饭基础份</x:v>
      </x:c>
      <x:c r="C16" s="30" t="str">
        <x:v>LINEAR_WITH_EXECUTION_ROUNDING</x:v>
      </x:c>
      <x:c r="D16" s="30" t="n">
        <x:v>0.75</x:v>
      </x:c>
      <x:c r="E16" s="30" t="str">
        <x:v>糙米</x:v>
      </x:c>
      <x:c r="F16" s="30" t="n">
        <x:v>15</x:v>
      </x:c>
      <x:c r="G16" s="30" t="str">
        <x:v>g</x:v>
      </x:c>
      <x:c r="H16" s="30" t="str">
        <x:v>dry_weight</x:v>
      </x:c>
      <x:c r="I16" s="30" t="n">
        <x:v>5</x:v>
      </x:c>
      <x:c r="J16" s="30" t="n">
        <x:v>11.25</x:v>
      </x:c>
      <x:c r="K16" s="30" t="str">
        <x:v>该scale超出Ingredient Master执行边界</x:v>
      </x:c>
      <x:c r="L16" s="76" t="b">
        <x:v>0</x:v>
      </x:c>
      <x:c r="M16" s="30" t="str">
        <x:v>禁止该scale；不得为保留统一0.5/0.75/1.25/1.5而突破基础食材边界。</x:v>
      </x:c>
      <x:c r="N16" s="30"/>
    </x:row>
    <x:row r="17">
      <x:c r="A17" s="30" t="str">
        <x:v>C003</x:v>
      </x:c>
      <x:c r="B17" s="30" t="str">
        <x:v>杂粮饭基础份</x:v>
      </x:c>
      <x:c r="C17" s="30" t="str">
        <x:v>LINEAR_WITH_EXECUTION_ROUNDING</x:v>
      </x:c>
      <x:c r="D17" s="30" t="n">
        <x:v>0.75</x:v>
      </x:c>
      <x:c r="E17" s="30" t="str">
        <x:v>赤小豆干</x:v>
      </x:c>
      <x:c r="F17" s="30" t="n">
        <x:v>10</x:v>
      </x:c>
      <x:c r="G17" s="30" t="str">
        <x:v>g</x:v>
      </x:c>
      <x:c r="H17" s="30" t="str">
        <x:v>dry_weight</x:v>
      </x:c>
      <x:c r="I17" s="30" t="n">
        <x:v>5</x:v>
      </x:c>
      <x:c r="J17" s="30" t="n">
        <x:v>7.5</x:v>
      </x:c>
      <x:c r="K17" s="30" t="str">
        <x:v>赤小豆干10g</x:v>
      </x:c>
      <x:c r="L17" s="76" t="b">
        <x:v>1</x:v>
      </x:c>
      <x:c r="M17" s="30" t="str">
        <x:v>已按MDT确认的Ingredient Master min/max/step执行化；执行量变化后必须重算营养。</x:v>
      </x:c>
      <x:c r="N17" s="30" t="n">
        <x:v>10</x:v>
      </x:c>
    </x:row>
    <x:row r="18">
      <x:c r="A18" s="30" t="str">
        <x:v>C003</x:v>
      </x:c>
      <x:c r="B18" s="30" t="str">
        <x:v>杂粮饭基础份</x:v>
      </x:c>
      <x:c r="C18" s="30" t="str">
        <x:v>LINEAR_WITH_EXECUTION_ROUNDING</x:v>
      </x:c>
      <x:c r="D18" s="30" t="n">
        <x:v>1</x:v>
      </x:c>
      <x:c r="E18" s="30" t="str">
        <x:v>大米</x:v>
      </x:c>
      <x:c r="F18" s="30" t="n">
        <x:v>35</x:v>
      </x:c>
      <x:c r="G18" s="30" t="str">
        <x:v>g</x:v>
      </x:c>
      <x:c r="H18" s="30" t="str">
        <x:v>dry_weight</x:v>
      </x:c>
      <x:c r="I18" s="30" t="n">
        <x:v>5</x:v>
      </x:c>
      <x:c r="J18" s="30" t="n">
        <x:v>35</x:v>
      </x:c>
      <x:c r="K18" s="30" t="str">
        <x:v>大米35g</x:v>
      </x:c>
      <x:c r="L18" s="76" t="b">
        <x:v>1</x:v>
      </x:c>
      <x:c r="M18" s="30" t="str">
        <x:v>已按MDT确认的Ingredient Master min/max/step执行化；执行量变化后必须重算营养。</x:v>
      </x:c>
      <x:c r="N18" s="30" t="n">
        <x:v>35</x:v>
      </x:c>
    </x:row>
    <x:row r="19">
      <x:c r="A19" s="30" t="str">
        <x:v>C003</x:v>
      </x:c>
      <x:c r="B19" s="30" t="str">
        <x:v>杂粮饭基础份</x:v>
      </x:c>
      <x:c r="C19" s="30" t="str">
        <x:v>LINEAR_WITH_EXECUTION_ROUNDING</x:v>
      </x:c>
      <x:c r="D19" s="30" t="n">
        <x:v>1</x:v>
      </x:c>
      <x:c r="E19" s="30" t="str">
        <x:v>糙米</x:v>
      </x:c>
      <x:c r="F19" s="30" t="n">
        <x:v>15</x:v>
      </x:c>
      <x:c r="G19" s="30" t="str">
        <x:v>g</x:v>
      </x:c>
      <x:c r="H19" s="30" t="str">
        <x:v>dry_weight</x:v>
      </x:c>
      <x:c r="I19" s="30" t="n">
        <x:v>5</x:v>
      </x:c>
      <x:c r="J19" s="30" t="n">
        <x:v>15</x:v>
      </x:c>
      <x:c r="K19" s="30" t="str">
        <x:v>糙米15g</x:v>
      </x:c>
      <x:c r="L19" s="76" t="b">
        <x:v>1</x:v>
      </x:c>
      <x:c r="M19" s="30" t="str">
        <x:v>已按MDT确认的Ingredient Master min/max/step执行化；执行量变化后必须重算营养。</x:v>
      </x:c>
      <x:c r="N19" s="30" t="n">
        <x:v>15</x:v>
      </x:c>
    </x:row>
    <x:row r="20">
      <x:c r="A20" s="30" t="str">
        <x:v>C003</x:v>
      </x:c>
      <x:c r="B20" s="30" t="str">
        <x:v>杂粮饭基础份</x:v>
      </x:c>
      <x:c r="C20" s="30" t="str">
        <x:v>LINEAR_WITH_EXECUTION_ROUNDING</x:v>
      </x:c>
      <x:c r="D20" s="30" t="n">
        <x:v>1</x:v>
      </x:c>
      <x:c r="E20" s="30" t="str">
        <x:v>赤小豆干</x:v>
      </x:c>
      <x:c r="F20" s="30" t="n">
        <x:v>10</x:v>
      </x:c>
      <x:c r="G20" s="30" t="str">
        <x:v>g</x:v>
      </x:c>
      <x:c r="H20" s="30" t="str">
        <x:v>dry_weight</x:v>
      </x:c>
      <x:c r="I20" s="30" t="n">
        <x:v>5</x:v>
      </x:c>
      <x:c r="J20" s="30" t="n">
        <x:v>10</x:v>
      </x:c>
      <x:c r="K20" s="30" t="str">
        <x:v>赤小豆干10g</x:v>
      </x:c>
      <x:c r="L20" s="76" t="b">
        <x:v>1</x:v>
      </x:c>
      <x:c r="M20" s="30" t="str">
        <x:v>已按MDT确认的Ingredient Master min/max/step执行化；执行量变化后必须重算营养。</x:v>
      </x:c>
      <x:c r="N20" s="30" t="n">
        <x:v>10</x:v>
      </x:c>
    </x:row>
    <x:row r="21">
      <x:c r="A21" s="30" t="str">
        <x:v>C003</x:v>
      </x:c>
      <x:c r="B21" s="30" t="str">
        <x:v>杂粮饭基础份</x:v>
      </x:c>
      <x:c r="C21" s="30" t="str">
        <x:v>LINEAR_WITH_EXECUTION_ROUNDING</x:v>
      </x:c>
      <x:c r="D21" s="30" t="n">
        <x:v>1.25</x:v>
      </x:c>
      <x:c r="E21" s="30" t="str">
        <x:v>大米</x:v>
      </x:c>
      <x:c r="F21" s="30" t="n">
        <x:v>35</x:v>
      </x:c>
      <x:c r="G21" s="30" t="str">
        <x:v>g</x:v>
      </x:c>
      <x:c r="H21" s="30" t="str">
        <x:v>dry_weight</x:v>
      </x:c>
      <x:c r="I21" s="30" t="n">
        <x:v>5</x:v>
      </x:c>
      <x:c r="J21" s="30" t="n">
        <x:v>43.75</x:v>
      </x:c>
      <x:c r="K21" s="30" t="str">
        <x:v>大米45g</x:v>
      </x:c>
      <x:c r="L21" s="76" t="b">
        <x:v>1</x:v>
      </x:c>
      <x:c r="M21" s="30" t="str">
        <x:v>已按MDT确认的Ingredient Master min/max/step执行化；执行量变化后必须重算营养。</x:v>
      </x:c>
      <x:c r="N21" s="30" t="n">
        <x:v>45</x:v>
      </x:c>
    </x:row>
    <x:row r="22">
      <x:c r="A22" s="30" t="str">
        <x:v>C003</x:v>
      </x:c>
      <x:c r="B22" s="30" t="str">
        <x:v>杂粮饭基础份</x:v>
      </x:c>
      <x:c r="C22" s="30" t="str">
        <x:v>LINEAR_WITH_EXECUTION_ROUNDING</x:v>
      </x:c>
      <x:c r="D22" s="30" t="n">
        <x:v>1.25</x:v>
      </x:c>
      <x:c r="E22" s="30" t="str">
        <x:v>糙米</x:v>
      </x:c>
      <x:c r="F22" s="30" t="n">
        <x:v>15</x:v>
      </x:c>
      <x:c r="G22" s="30" t="str">
        <x:v>g</x:v>
      </x:c>
      <x:c r="H22" s="30" t="str">
        <x:v>dry_weight</x:v>
      </x:c>
      <x:c r="I22" s="30" t="n">
        <x:v>5</x:v>
      </x:c>
      <x:c r="J22" s="30" t="n">
        <x:v>18.75</x:v>
      </x:c>
      <x:c r="K22" s="30" t="str">
        <x:v>糙米20g</x:v>
      </x:c>
      <x:c r="L22" s="76" t="b">
        <x:v>1</x:v>
      </x:c>
      <x:c r="M22" s="30" t="str">
        <x:v>已按MDT确认的Ingredient Master min/max/step执行化；执行量变化后必须重算营养。</x:v>
      </x:c>
      <x:c r="N22" s="30" t="n">
        <x:v>20</x:v>
      </x:c>
    </x:row>
    <x:row r="23">
      <x:c r="A23" s="30" t="str">
        <x:v>C003</x:v>
      </x:c>
      <x:c r="B23" s="30" t="str">
        <x:v>杂粮饭基础份</x:v>
      </x:c>
      <x:c r="C23" s="30" t="str">
        <x:v>LINEAR_WITH_EXECUTION_ROUNDING</x:v>
      </x:c>
      <x:c r="D23" s="30" t="n">
        <x:v>1.25</x:v>
      </x:c>
      <x:c r="E23" s="30" t="str">
        <x:v>赤小豆干</x:v>
      </x:c>
      <x:c r="F23" s="30" t="n">
        <x:v>10</x:v>
      </x:c>
      <x:c r="G23" s="30" t="str">
        <x:v>g</x:v>
      </x:c>
      <x:c r="H23" s="30" t="str">
        <x:v>dry_weight</x:v>
      </x:c>
      <x:c r="I23" s="30" t="n">
        <x:v>5</x:v>
      </x:c>
      <x:c r="J23" s="30" t="n">
        <x:v>12.5</x:v>
      </x:c>
      <x:c r="K23" s="30" t="str">
        <x:v>赤小豆干15g</x:v>
      </x:c>
      <x:c r="L23" s="76" t="b">
        <x:v>1</x:v>
      </x:c>
      <x:c r="M23" s="30" t="str">
        <x:v>已按MDT确认的Ingredient Master min/max/step执行化；执行量变化后必须重算营养。</x:v>
      </x:c>
      <x:c r="N23" s="30" t="n">
        <x:v>15</x:v>
      </x:c>
    </x:row>
    <x:row r="24">
      <x:c r="A24" s="30" t="str">
        <x:v>C003</x:v>
      </x:c>
      <x:c r="B24" s="30" t="str">
        <x:v>杂粮饭基础份</x:v>
      </x:c>
      <x:c r="C24" s="30" t="str">
        <x:v>LINEAR_WITH_EXECUTION_ROUNDING</x:v>
      </x:c>
      <x:c r="D24" s="30" t="n">
        <x:v>1.5</x:v>
      </x:c>
      <x:c r="E24" s="30" t="str">
        <x:v>大米</x:v>
      </x:c>
      <x:c r="F24" s="30" t="n">
        <x:v>35</x:v>
      </x:c>
      <x:c r="G24" s="30" t="str">
        <x:v>g</x:v>
      </x:c>
      <x:c r="H24" s="30" t="str">
        <x:v>dry_weight</x:v>
      </x:c>
      <x:c r="I24" s="30" t="n">
        <x:v>5</x:v>
      </x:c>
      <x:c r="J24" s="30" t="n">
        <x:v>52.5</x:v>
      </x:c>
      <x:c r="K24" s="30" t="str">
        <x:v>大米55g</x:v>
      </x:c>
      <x:c r="L24" s="76" t="b">
        <x:v>1</x:v>
      </x:c>
      <x:c r="M24" s="30" t="str">
        <x:v>已按MDT确认的Ingredient Master min/max/step执行化；执行量变化后必须重算营养。</x:v>
      </x:c>
      <x:c r="N24" s="30" t="n">
        <x:v>55</x:v>
      </x:c>
    </x:row>
    <x:row r="25">
      <x:c r="A25" s="30" t="str">
        <x:v>C003</x:v>
      </x:c>
      <x:c r="B25" s="30" t="str">
        <x:v>杂粮饭基础份</x:v>
      </x:c>
      <x:c r="C25" s="30" t="str">
        <x:v>LINEAR_WITH_EXECUTION_ROUNDING</x:v>
      </x:c>
      <x:c r="D25" s="30" t="n">
        <x:v>1.5</x:v>
      </x:c>
      <x:c r="E25" s="30" t="str">
        <x:v>糙米</x:v>
      </x:c>
      <x:c r="F25" s="30" t="n">
        <x:v>15</x:v>
      </x:c>
      <x:c r="G25" s="30" t="str">
        <x:v>g</x:v>
      </x:c>
      <x:c r="H25" s="30" t="str">
        <x:v>dry_weight</x:v>
      </x:c>
      <x:c r="I25" s="30" t="n">
        <x:v>5</x:v>
      </x:c>
      <x:c r="J25" s="30" t="n">
        <x:v>22.5</x:v>
      </x:c>
      <x:c r="K25" s="30" t="str">
        <x:v>糙米25g</x:v>
      </x:c>
      <x:c r="L25" s="76" t="b">
        <x:v>1</x:v>
      </x:c>
      <x:c r="M25" s="30" t="str">
        <x:v>已按MDT确认的Ingredient Master min/max/step执行化；执行量变化后必须重算营养。</x:v>
      </x:c>
      <x:c r="N25" s="30" t="n">
        <x:v>25</x:v>
      </x:c>
    </x:row>
    <x:row r="26">
      <x:c r="A26" s="30" t="str">
        <x:v>C003</x:v>
      </x:c>
      <x:c r="B26" s="30" t="str">
        <x:v>杂粮饭基础份</x:v>
      </x:c>
      <x:c r="C26" s="30" t="str">
        <x:v>LINEAR_WITH_EXECUTION_ROUNDING</x:v>
      </x:c>
      <x:c r="D26" s="30" t="n">
        <x:v>1.5</x:v>
      </x:c>
      <x:c r="E26" s="30" t="str">
        <x:v>赤小豆干</x:v>
      </x:c>
      <x:c r="F26" s="30" t="n">
        <x:v>10</x:v>
      </x:c>
      <x:c r="G26" s="30" t="str">
        <x:v>g</x:v>
      </x:c>
      <x:c r="H26" s="30" t="str">
        <x:v>dry_weight</x:v>
      </x:c>
      <x:c r="I26" s="30" t="n">
        <x:v>5</x:v>
      </x:c>
      <x:c r="J26" s="30" t="n">
        <x:v>15</x:v>
      </x:c>
      <x:c r="K26" s="30" t="str">
        <x:v>赤小豆干15g</x:v>
      </x:c>
      <x:c r="L26" s="76" t="b">
        <x:v>1</x:v>
      </x:c>
      <x:c r="M26" s="30" t="str">
        <x:v>已按MDT确认的Ingredient Master min/max/step执行化；执行量变化后必须重算营养。</x:v>
      </x:c>
      <x:c r="N26" s="30" t="n">
        <x:v>15</x:v>
      </x:c>
    </x:row>
    <x:row r="27">
      <x:c r="A27" s="30" t="str">
        <x:v>C004</x:v>
      </x:c>
      <x:c r="B27" s="30" t="str">
        <x:v>燕麦早餐份</x:v>
      </x:c>
      <x:c r="C27" s="30" t="str">
        <x:v>LINEAR_WITH_EXECUTION_ROUNDING</x:v>
      </x:c>
      <x:c r="D27" s="30" t="n">
        <x:v>0.5</x:v>
      </x:c>
      <x:c r="E27" s="30" t="str">
        <x:v>燕麦片</x:v>
      </x:c>
      <x:c r="F27" s="30" t="n">
        <x:v>40</x:v>
      </x:c>
      <x:c r="G27" s="30" t="str">
        <x:v>g</x:v>
      </x:c>
      <x:c r="H27" s="30" t="str">
        <x:v>dry_weight</x:v>
      </x:c>
      <x:c r="I27" s="30" t="n">
        <x:v>5</x:v>
      </x:c>
      <x:c r="J27" s="30" t="n">
        <x:v>20</x:v>
      </x:c>
      <x:c r="K27" s="30" t="str">
        <x:v>燕麦片20g</x:v>
      </x:c>
      <x:c r="L27" s="76" t="b">
        <x:v>1</x:v>
      </x:c>
      <x:c r="M27" s="30" t="str">
        <x:v>已按MDT确认的Ingredient Master min/max/step执行化；执行量变化后必须重算营养。</x:v>
      </x:c>
      <x:c r="N27" s="30" t="n">
        <x:v>20</x:v>
      </x:c>
    </x:row>
    <x:row r="28">
      <x:c r="A28" s="30" t="str">
        <x:v>C004</x:v>
      </x:c>
      <x:c r="B28" s="30" t="str">
        <x:v>燕麦早餐份</x:v>
      </x:c>
      <x:c r="C28" s="30" t="str">
        <x:v>LINEAR_WITH_EXECUTION_ROUNDING</x:v>
      </x:c>
      <x:c r="D28" s="30" t="n">
        <x:v>0.75</x:v>
      </x:c>
      <x:c r="E28" s="30" t="str">
        <x:v>燕麦片</x:v>
      </x:c>
      <x:c r="F28" s="30" t="n">
        <x:v>40</x:v>
      </x:c>
      <x:c r="G28" s="30" t="str">
        <x:v>g</x:v>
      </x:c>
      <x:c r="H28" s="30" t="str">
        <x:v>dry_weight</x:v>
      </x:c>
      <x:c r="I28" s="30" t="n">
        <x:v>5</x:v>
      </x:c>
      <x:c r="J28" s="30" t="n">
        <x:v>30</x:v>
      </x:c>
      <x:c r="K28" s="30" t="str">
        <x:v>燕麦片30g</x:v>
      </x:c>
      <x:c r="L28" s="76" t="b">
        <x:v>1</x:v>
      </x:c>
      <x:c r="M28" s="30" t="str">
        <x:v>已按MDT确认的Ingredient Master min/max/step执行化；执行量变化后必须重算营养。</x:v>
      </x:c>
      <x:c r="N28" s="30" t="n">
        <x:v>30</x:v>
      </x:c>
    </x:row>
    <x:row r="29">
      <x:c r="A29" s="30" t="str">
        <x:v>C004</x:v>
      </x:c>
      <x:c r="B29" s="30" t="str">
        <x:v>燕麦早餐份</x:v>
      </x:c>
      <x:c r="C29" s="30" t="str">
        <x:v>LINEAR_WITH_EXECUTION_ROUNDING</x:v>
      </x:c>
      <x:c r="D29" s="30" t="n">
        <x:v>1</x:v>
      </x:c>
      <x:c r="E29" s="30" t="str">
        <x:v>燕麦片</x:v>
      </x:c>
      <x:c r="F29" s="30" t="n">
        <x:v>40</x:v>
      </x:c>
      <x:c r="G29" s="30" t="str">
        <x:v>g</x:v>
      </x:c>
      <x:c r="H29" s="30" t="str">
        <x:v>dry_weight</x:v>
      </x:c>
      <x:c r="I29" s="30" t="n">
        <x:v>5</x:v>
      </x:c>
      <x:c r="J29" s="30" t="n">
        <x:v>40</x:v>
      </x:c>
      <x:c r="K29" s="30" t="str">
        <x:v>燕麦片40g</x:v>
      </x:c>
      <x:c r="L29" s="76" t="b">
        <x:v>1</x:v>
      </x:c>
      <x:c r="M29" s="30" t="str">
        <x:v>已按MDT确认的Ingredient Master min/max/step执行化；执行量变化后必须重算营养。</x:v>
      </x:c>
      <x:c r="N29" s="30" t="n">
        <x:v>40</x:v>
      </x:c>
    </x:row>
    <x:row r="30">
      <x:c r="A30" s="30" t="str">
        <x:v>C004</x:v>
      </x:c>
      <x:c r="B30" s="30" t="str">
        <x:v>燕麦早餐份</x:v>
      </x:c>
      <x:c r="C30" s="30" t="str">
        <x:v>LINEAR_WITH_EXECUTION_ROUNDING</x:v>
      </x:c>
      <x:c r="D30" s="30" t="n">
        <x:v>1.25</x:v>
      </x:c>
      <x:c r="E30" s="30" t="str">
        <x:v>燕麦片</x:v>
      </x:c>
      <x:c r="F30" s="30" t="n">
        <x:v>40</x:v>
      </x:c>
      <x:c r="G30" s="30" t="str">
        <x:v>g</x:v>
      </x:c>
      <x:c r="H30" s="30" t="str">
        <x:v>dry_weight</x:v>
      </x:c>
      <x:c r="I30" s="30" t="n">
        <x:v>5</x:v>
      </x:c>
      <x:c r="J30" s="30" t="n">
        <x:v>50</x:v>
      </x:c>
      <x:c r="K30" s="30" t="str">
        <x:v>燕麦片50g</x:v>
      </x:c>
      <x:c r="L30" s="76" t="b">
        <x:v>1</x:v>
      </x:c>
      <x:c r="M30" s="30" t="str">
        <x:v>已按MDT确认的Ingredient Master min/max/step执行化；执行量变化后必须重算营养。</x:v>
      </x:c>
      <x:c r="N30" s="30" t="n">
        <x:v>50</x:v>
      </x:c>
    </x:row>
    <x:row r="31">
      <x:c r="A31" s="30" t="str">
        <x:v>C004</x:v>
      </x:c>
      <x:c r="B31" s="30" t="str">
        <x:v>燕麦早餐份</x:v>
      </x:c>
      <x:c r="C31" s="30" t="str">
        <x:v>LINEAR_WITH_EXECUTION_ROUNDING</x:v>
      </x:c>
      <x:c r="D31" s="30" t="n">
        <x:v>1.5</x:v>
      </x:c>
      <x:c r="E31" s="30" t="str">
        <x:v>燕麦片</x:v>
      </x:c>
      <x:c r="F31" s="30" t="n">
        <x:v>40</x:v>
      </x:c>
      <x:c r="G31" s="30" t="str">
        <x:v>g</x:v>
      </x:c>
      <x:c r="H31" s="30" t="str">
        <x:v>dry_weight</x:v>
      </x:c>
      <x:c r="I31" s="30" t="n">
        <x:v>5</x:v>
      </x:c>
      <x:c r="J31" s="30" t="n">
        <x:v>60</x:v>
      </x:c>
      <x:c r="K31" s="30" t="str">
        <x:v>燕麦片60g</x:v>
      </x:c>
      <x:c r="L31" s="76" t="b">
        <x:v>1</x:v>
      </x:c>
      <x:c r="M31" s="30" t="str">
        <x:v>已按MDT确认的Ingredient Master min/max/step执行化；执行量变化后必须重算营养。</x:v>
      </x:c>
      <x:c r="N31" s="30" t="n">
        <x:v>60</x:v>
      </x:c>
    </x:row>
    <x:row r="32">
      <x:c r="A32" s="30" t="str">
        <x:v>C005</x:v>
      </x:c>
      <x:c r="B32" s="30" t="str">
        <x:v>全麦馒头基础份</x:v>
      </x:c>
      <x:c r="C32" s="30" t="str">
        <x:v>LINEAR_WITH_EXECUTION_ROUNDING</x:v>
      </x:c>
      <x:c r="D32" s="30" t="n">
        <x:v>0.5</x:v>
      </x:c>
      <x:c r="E32" s="30" t="str">
        <x:v>全麦面粉</x:v>
      </x:c>
      <x:c r="F32" s="30" t="n">
        <x:v>60</x:v>
      </x:c>
      <x:c r="G32" s="30" t="str">
        <x:v>g</x:v>
      </x:c>
      <x:c r="H32" s="30" t="str">
        <x:v>dry_weight</x:v>
      </x:c>
      <x:c r="I32" s="30" t="n">
        <x:v>5</x:v>
      </x:c>
      <x:c r="J32" s="30" t="n">
        <x:v>30</x:v>
      </x:c>
      <x:c r="K32" s="30" t="str">
        <x:v>全麦面粉30g</x:v>
      </x:c>
      <x:c r="L32" s="76" t="b">
        <x:v>1</x:v>
      </x:c>
      <x:c r="M32" s="30" t="str">
        <x:v>已按MDT确认的Ingredient Master min/max/step执行化；执行量变化后必须重算营养。</x:v>
      </x:c>
      <x:c r="N32" s="30" t="n">
        <x:v>30</x:v>
      </x:c>
    </x:row>
    <x:row r="33">
      <x:c r="A33" s="30" t="str">
        <x:v>C005</x:v>
      </x:c>
      <x:c r="B33" s="30" t="str">
        <x:v>全麦馒头基础份</x:v>
      </x:c>
      <x:c r="C33" s="30" t="str">
        <x:v>LINEAR_WITH_EXECUTION_ROUNDING</x:v>
      </x:c>
      <x:c r="D33" s="30" t="n">
        <x:v>0.75</x:v>
      </x:c>
      <x:c r="E33" s="30" t="str">
        <x:v>全麦面粉</x:v>
      </x:c>
      <x:c r="F33" s="30" t="n">
        <x:v>60</x:v>
      </x:c>
      <x:c r="G33" s="30" t="str">
        <x:v>g</x:v>
      </x:c>
      <x:c r="H33" s="30" t="str">
        <x:v>dry_weight</x:v>
      </x:c>
      <x:c r="I33" s="30" t="n">
        <x:v>5</x:v>
      </x:c>
      <x:c r="J33" s="30" t="n">
        <x:v>45</x:v>
      </x:c>
      <x:c r="K33" s="30" t="str">
        <x:v>全麦面粉45g</x:v>
      </x:c>
      <x:c r="L33" s="76" t="b">
        <x:v>1</x:v>
      </x:c>
      <x:c r="M33" s="30" t="str">
        <x:v>已按MDT确认的Ingredient Master min/max/step执行化；执行量变化后必须重算营养。</x:v>
      </x:c>
      <x:c r="N33" s="30" t="n">
        <x:v>45</x:v>
      </x:c>
    </x:row>
    <x:row r="34">
      <x:c r="A34" s="30" t="str">
        <x:v>C005</x:v>
      </x:c>
      <x:c r="B34" s="30" t="str">
        <x:v>全麦馒头基础份</x:v>
      </x:c>
      <x:c r="C34" s="30" t="str">
        <x:v>LINEAR_WITH_EXECUTION_ROUNDING</x:v>
      </x:c>
      <x:c r="D34" s="30" t="n">
        <x:v>1</x:v>
      </x:c>
      <x:c r="E34" s="30" t="str">
        <x:v>全麦面粉</x:v>
      </x:c>
      <x:c r="F34" s="30" t="n">
        <x:v>60</x:v>
      </x:c>
      <x:c r="G34" s="30" t="str">
        <x:v>g</x:v>
      </x:c>
      <x:c r="H34" s="30" t="str">
        <x:v>dry_weight</x:v>
      </x:c>
      <x:c r="I34" s="30" t="n">
        <x:v>5</x:v>
      </x:c>
      <x:c r="J34" s="30" t="n">
        <x:v>60</x:v>
      </x:c>
      <x:c r="K34" s="30" t="str">
        <x:v>全麦面粉60g</x:v>
      </x:c>
      <x:c r="L34" s="76" t="b">
        <x:v>1</x:v>
      </x:c>
      <x:c r="M34" s="30" t="str">
        <x:v>已按MDT确认的Ingredient Master min/max/step执行化；执行量变化后必须重算营养。</x:v>
      </x:c>
      <x:c r="N34" s="30" t="n">
        <x:v>60</x:v>
      </x:c>
    </x:row>
    <x:row r="35">
      <x:c r="A35" s="30" t="str">
        <x:v>C005</x:v>
      </x:c>
      <x:c r="B35" s="30" t="str">
        <x:v>全麦馒头基础份</x:v>
      </x:c>
      <x:c r="C35" s="30" t="str">
        <x:v>LINEAR_WITH_EXECUTION_ROUNDING</x:v>
      </x:c>
      <x:c r="D35" s="30" t="n">
        <x:v>1.25</x:v>
      </x:c>
      <x:c r="E35" s="30" t="str">
        <x:v>全麦面粉</x:v>
      </x:c>
      <x:c r="F35" s="30" t="n">
        <x:v>60</x:v>
      </x:c>
      <x:c r="G35" s="30" t="str">
        <x:v>g</x:v>
      </x:c>
      <x:c r="H35" s="30" t="str">
        <x:v>dry_weight</x:v>
      </x:c>
      <x:c r="I35" s="30" t="n">
        <x:v>5</x:v>
      </x:c>
      <x:c r="J35" s="30" t="n">
        <x:v>75</x:v>
      </x:c>
      <x:c r="K35" s="30" t="str">
        <x:v>全麦面粉75g</x:v>
      </x:c>
      <x:c r="L35" s="76" t="b">
        <x:v>1</x:v>
      </x:c>
      <x:c r="M35" s="30" t="str">
        <x:v>已按MDT确认的Ingredient Master min/max/step执行化；执行量变化后必须重算营养。</x:v>
      </x:c>
      <x:c r="N35" s="30" t="n">
        <x:v>75</x:v>
      </x:c>
    </x:row>
    <x:row r="36">
      <x:c r="A36" s="30" t="str">
        <x:v>C005</x:v>
      </x:c>
      <x:c r="B36" s="30" t="str">
        <x:v>全麦馒头基础份</x:v>
      </x:c>
      <x:c r="C36" s="30" t="str">
        <x:v>LINEAR_WITH_EXECUTION_ROUNDING</x:v>
      </x:c>
      <x:c r="D36" s="30" t="n">
        <x:v>1.5</x:v>
      </x:c>
      <x:c r="E36" s="30" t="str">
        <x:v>全麦面粉</x:v>
      </x:c>
      <x:c r="F36" s="30" t="n">
        <x:v>60</x:v>
      </x:c>
      <x:c r="G36" s="30" t="str">
        <x:v>g</x:v>
      </x:c>
      <x:c r="H36" s="30" t="str">
        <x:v>dry_weight</x:v>
      </x:c>
      <x:c r="I36" s="30" t="n">
        <x:v>5</x:v>
      </x:c>
      <x:c r="J36" s="30" t="n">
        <x:v>90</x:v>
      </x:c>
      <x:c r="K36" s="30" t="str">
        <x:v>该scale超出Ingredient Master执行边界</x:v>
      </x:c>
      <x:c r="L36" s="76" t="b">
        <x:v>0</x:v>
      </x:c>
      <x:c r="M36" s="30" t="str">
        <x:v>禁止该scale；不得为保留统一0.5/0.75/1.25/1.5而突破基础食材边界。</x:v>
      </x:c>
      <x:c r="N36" s="30"/>
    </x:row>
    <x:row r="37">
      <x:c r="A37" s="30" t="str">
        <x:v>C006</x:v>
      </x:c>
      <x:c r="B37" s="30" t="str">
        <x:v>鲜玉米基础份</x:v>
      </x:c>
      <x:c r="C37" s="30" t="str">
        <x:v>LINEAR_WITH_EXECUTION_ROUNDING</x:v>
      </x:c>
      <x:c r="D37" s="30" t="n">
        <x:v>0.5</x:v>
      </x:c>
      <x:c r="E37" s="30" t="str">
        <x:v>玉米鲜</x:v>
      </x:c>
      <x:c r="F37" s="30" t="n">
        <x:v>150</x:v>
      </x:c>
      <x:c r="G37" s="30" t="str">
        <x:v>g</x:v>
      </x:c>
      <x:c r="H37" s="30" t="str">
        <x:v>raw_edible_weight</x:v>
      </x:c>
      <x:c r="I37" s="30" t="n">
        <x:v>10</x:v>
      </x:c>
      <x:c r="J37" s="30" t="n">
        <x:v>75</x:v>
      </x:c>
      <x:c r="K37" s="30" t="str">
        <x:v>玉米鲜80g</x:v>
      </x:c>
      <x:c r="L37" s="76" t="b">
        <x:v>1</x:v>
      </x:c>
      <x:c r="M37" s="30" t="str">
        <x:v>已按MDT确认的Ingredient Master min/max/step执行化；执行量变化后必须重算营养。</x:v>
      </x:c>
      <x:c r="N37" s="30" t="n">
        <x:v>80</x:v>
      </x:c>
    </x:row>
    <x:row r="38">
      <x:c r="A38" s="30" t="str">
        <x:v>C006</x:v>
      </x:c>
      <x:c r="B38" s="30" t="str">
        <x:v>鲜玉米基础份</x:v>
      </x:c>
      <x:c r="C38" s="30" t="str">
        <x:v>LINEAR_WITH_EXECUTION_ROUNDING</x:v>
      </x:c>
      <x:c r="D38" s="30" t="n">
        <x:v>0.75</x:v>
      </x:c>
      <x:c r="E38" s="30" t="str">
        <x:v>玉米鲜</x:v>
      </x:c>
      <x:c r="F38" s="30" t="n">
        <x:v>150</x:v>
      </x:c>
      <x:c r="G38" s="30" t="str">
        <x:v>g</x:v>
      </x:c>
      <x:c r="H38" s="30" t="str">
        <x:v>raw_edible_weight</x:v>
      </x:c>
      <x:c r="I38" s="30" t="n">
        <x:v>10</x:v>
      </x:c>
      <x:c r="J38" s="30" t="n">
        <x:v>112.5</x:v>
      </x:c>
      <x:c r="K38" s="30" t="str">
        <x:v>玉米鲜110g</x:v>
      </x:c>
      <x:c r="L38" s="76" t="b">
        <x:v>1</x:v>
      </x:c>
      <x:c r="M38" s="30" t="str">
        <x:v>已按MDT确认的Ingredient Master min/max/step执行化；执行量变化后必须重算营养。</x:v>
      </x:c>
      <x:c r="N38" s="30" t="n">
        <x:v>110</x:v>
      </x:c>
    </x:row>
    <x:row r="39">
      <x:c r="A39" s="30" t="str">
        <x:v>C006</x:v>
      </x:c>
      <x:c r="B39" s="30" t="str">
        <x:v>鲜玉米基础份</x:v>
      </x:c>
      <x:c r="C39" s="30" t="str">
        <x:v>LINEAR_WITH_EXECUTION_ROUNDING</x:v>
      </x:c>
      <x:c r="D39" s="30" t="n">
        <x:v>1</x:v>
      </x:c>
      <x:c r="E39" s="30" t="str">
        <x:v>玉米鲜</x:v>
      </x:c>
      <x:c r="F39" s="30" t="n">
        <x:v>150</x:v>
      </x:c>
      <x:c r="G39" s="30" t="str">
        <x:v>g</x:v>
      </x:c>
      <x:c r="H39" s="30" t="str">
        <x:v>raw_edible_weight</x:v>
      </x:c>
      <x:c r="I39" s="30" t="n">
        <x:v>10</x:v>
      </x:c>
      <x:c r="J39" s="30" t="n">
        <x:v>150</x:v>
      </x:c>
      <x:c r="K39" s="30" t="str">
        <x:v>玉米鲜150g</x:v>
      </x:c>
      <x:c r="L39" s="76" t="b">
        <x:v>1</x:v>
      </x:c>
      <x:c r="M39" s="30" t="str">
        <x:v>已按MDT确认的Ingredient Master min/max/step执行化；执行量变化后必须重算营养。</x:v>
      </x:c>
      <x:c r="N39" s="30" t="n">
        <x:v>150</x:v>
      </x:c>
    </x:row>
    <x:row r="40">
      <x:c r="A40" s="30" t="str">
        <x:v>C006</x:v>
      </x:c>
      <x:c r="B40" s="30" t="str">
        <x:v>鲜玉米基础份</x:v>
      </x:c>
      <x:c r="C40" s="30" t="str">
        <x:v>LINEAR_WITH_EXECUTION_ROUNDING</x:v>
      </x:c>
      <x:c r="D40" s="30" t="n">
        <x:v>1.25</x:v>
      </x:c>
      <x:c r="E40" s="30" t="str">
        <x:v>玉米鲜</x:v>
      </x:c>
      <x:c r="F40" s="30" t="n">
        <x:v>150</x:v>
      </x:c>
      <x:c r="G40" s="30" t="str">
        <x:v>g</x:v>
      </x:c>
      <x:c r="H40" s="30" t="str">
        <x:v>raw_edible_weight</x:v>
      </x:c>
      <x:c r="I40" s="30" t="n">
        <x:v>10</x:v>
      </x:c>
      <x:c r="J40" s="30" t="n">
        <x:v>187.5</x:v>
      </x:c>
      <x:c r="K40" s="30" t="str">
        <x:v>玉米鲜190g</x:v>
      </x:c>
      <x:c r="L40" s="76" t="b">
        <x:v>1</x:v>
      </x:c>
      <x:c r="M40" s="30" t="str">
        <x:v>已按MDT确认的Ingredient Master min/max/step执行化；执行量变化后必须重算营养。</x:v>
      </x:c>
      <x:c r="N40" s="30" t="n">
        <x:v>190</x:v>
      </x:c>
    </x:row>
    <x:row r="41">
      <x:c r="A41" s="30" t="str">
        <x:v>C006</x:v>
      </x:c>
      <x:c r="B41" s="30" t="str">
        <x:v>鲜玉米基础份</x:v>
      </x:c>
      <x:c r="C41" s="30" t="str">
        <x:v>LINEAR_WITH_EXECUTION_ROUNDING</x:v>
      </x:c>
      <x:c r="D41" s="30" t="n">
        <x:v>1.5</x:v>
      </x:c>
      <x:c r="E41" s="30" t="str">
        <x:v>玉米鲜</x:v>
      </x:c>
      <x:c r="F41" s="30" t="n">
        <x:v>150</x:v>
      </x:c>
      <x:c r="G41" s="30" t="str">
        <x:v>g</x:v>
      </x:c>
      <x:c r="H41" s="30" t="str">
        <x:v>raw_edible_weight</x:v>
      </x:c>
      <x:c r="I41" s="30" t="n">
        <x:v>10</x:v>
      </x:c>
      <x:c r="J41" s="30" t="n">
        <x:v>225</x:v>
      </x:c>
      <x:c r="K41" s="30" t="str">
        <x:v>该scale超出Ingredient Master执行边界</x:v>
      </x:c>
      <x:c r="L41" s="76" t="b">
        <x:v>0</x:v>
      </x:c>
      <x:c r="M41" s="30" t="str">
        <x:v>禁止该scale；不得为保留统一0.5/0.75/1.25/1.5而突破基础食材边界。</x:v>
      </x:c>
      <x:c r="N41" s="30"/>
    </x:row>
    <x:row r="42">
      <x:c r="A42" s="30" t="str">
        <x:v>C007</x:v>
      </x:c>
      <x:c r="B42" s="30" t="str">
        <x:v>蒸红薯基础份</x:v>
      </x:c>
      <x:c r="C42" s="30" t="str">
        <x:v>LINEAR_WITH_EXECUTION_ROUNDING</x:v>
      </x:c>
      <x:c r="D42" s="30" t="n">
        <x:v>0.5</x:v>
      </x:c>
      <x:c r="E42" s="30" t="str">
        <x:v>红薯</x:v>
      </x:c>
      <x:c r="F42" s="30" t="n">
        <x:v>150</x:v>
      </x:c>
      <x:c r="G42" s="30" t="str">
        <x:v>g</x:v>
      </x:c>
      <x:c r="H42" s="30" t="str">
        <x:v>raw_edible_weight</x:v>
      </x:c>
      <x:c r="I42" s="30" t="n">
        <x:v>10</x:v>
      </x:c>
      <x:c r="J42" s="30" t="n">
        <x:v>75</x:v>
      </x:c>
      <x:c r="K42" s="30" t="str">
        <x:v>红薯80g</x:v>
      </x:c>
      <x:c r="L42" s="76" t="b">
        <x:v>1</x:v>
      </x:c>
      <x:c r="M42" s="30" t="str">
        <x:v>已按MDT确认的Ingredient Master min/max/step执行化；执行量变化后必须重算营养。</x:v>
      </x:c>
      <x:c r="N42" s="30" t="n">
        <x:v>80</x:v>
      </x:c>
    </x:row>
    <x:row r="43">
      <x:c r="A43" s="30" t="str">
        <x:v>C007</x:v>
      </x:c>
      <x:c r="B43" s="30" t="str">
        <x:v>蒸红薯基础份</x:v>
      </x:c>
      <x:c r="C43" s="30" t="str">
        <x:v>LINEAR_WITH_EXECUTION_ROUNDING</x:v>
      </x:c>
      <x:c r="D43" s="30" t="n">
        <x:v>0.75</x:v>
      </x:c>
      <x:c r="E43" s="30" t="str">
        <x:v>红薯</x:v>
      </x:c>
      <x:c r="F43" s="30" t="n">
        <x:v>150</x:v>
      </x:c>
      <x:c r="G43" s="30" t="str">
        <x:v>g</x:v>
      </x:c>
      <x:c r="H43" s="30" t="str">
        <x:v>raw_edible_weight</x:v>
      </x:c>
      <x:c r="I43" s="30" t="n">
        <x:v>10</x:v>
      </x:c>
      <x:c r="J43" s="30" t="n">
        <x:v>112.5</x:v>
      </x:c>
      <x:c r="K43" s="30" t="str">
        <x:v>红薯110g</x:v>
      </x:c>
      <x:c r="L43" s="76" t="b">
        <x:v>1</x:v>
      </x:c>
      <x:c r="M43" s="30" t="str">
        <x:v>已按MDT确认的Ingredient Master min/max/step执行化；执行量变化后必须重算营养。</x:v>
      </x:c>
      <x:c r="N43" s="30" t="n">
        <x:v>110</x:v>
      </x:c>
    </x:row>
    <x:row r="44">
      <x:c r="A44" s="30" t="str">
        <x:v>C007</x:v>
      </x:c>
      <x:c r="B44" s="30" t="str">
        <x:v>蒸红薯基础份</x:v>
      </x:c>
      <x:c r="C44" s="30" t="str">
        <x:v>LINEAR_WITH_EXECUTION_ROUNDING</x:v>
      </x:c>
      <x:c r="D44" s="30" t="n">
        <x:v>1</x:v>
      </x:c>
      <x:c r="E44" s="30" t="str">
        <x:v>红薯</x:v>
      </x:c>
      <x:c r="F44" s="30" t="n">
        <x:v>150</x:v>
      </x:c>
      <x:c r="G44" s="30" t="str">
        <x:v>g</x:v>
      </x:c>
      <x:c r="H44" s="30" t="str">
        <x:v>raw_edible_weight</x:v>
      </x:c>
      <x:c r="I44" s="30" t="n">
        <x:v>10</x:v>
      </x:c>
      <x:c r="J44" s="30" t="n">
        <x:v>150</x:v>
      </x:c>
      <x:c r="K44" s="30" t="str">
        <x:v>红薯150g</x:v>
      </x:c>
      <x:c r="L44" s="76" t="b">
        <x:v>1</x:v>
      </x:c>
      <x:c r="M44" s="30" t="str">
        <x:v>已按MDT确认的Ingredient Master min/max/step执行化；执行量变化后必须重算营养。</x:v>
      </x:c>
      <x:c r="N44" s="30" t="n">
        <x:v>150</x:v>
      </x:c>
    </x:row>
    <x:row r="45">
      <x:c r="A45" s="30" t="str">
        <x:v>C007</x:v>
      </x:c>
      <x:c r="B45" s="30" t="str">
        <x:v>蒸红薯基础份</x:v>
      </x:c>
      <x:c r="C45" s="30" t="str">
        <x:v>LINEAR_WITH_EXECUTION_ROUNDING</x:v>
      </x:c>
      <x:c r="D45" s="30" t="n">
        <x:v>1.25</x:v>
      </x:c>
      <x:c r="E45" s="30" t="str">
        <x:v>红薯</x:v>
      </x:c>
      <x:c r="F45" s="30" t="n">
        <x:v>150</x:v>
      </x:c>
      <x:c r="G45" s="30" t="str">
        <x:v>g</x:v>
      </x:c>
      <x:c r="H45" s="30" t="str">
        <x:v>raw_edible_weight</x:v>
      </x:c>
      <x:c r="I45" s="30" t="n">
        <x:v>10</x:v>
      </x:c>
      <x:c r="J45" s="30" t="n">
        <x:v>187.5</x:v>
      </x:c>
      <x:c r="K45" s="30" t="str">
        <x:v>红薯190g</x:v>
      </x:c>
      <x:c r="L45" s="76" t="b">
        <x:v>1</x:v>
      </x:c>
      <x:c r="M45" s="30" t="str">
        <x:v>已按MDT确认的Ingredient Master min/max/step执行化；执行量变化后必须重算营养。</x:v>
      </x:c>
      <x:c r="N45" s="30" t="n">
        <x:v>190</x:v>
      </x:c>
    </x:row>
    <x:row r="46">
      <x:c r="A46" s="30" t="str">
        <x:v>C007</x:v>
      </x:c>
      <x:c r="B46" s="30" t="str">
        <x:v>蒸红薯基础份</x:v>
      </x:c>
      <x:c r="C46" s="30" t="str">
        <x:v>LINEAR_WITH_EXECUTION_ROUNDING</x:v>
      </x:c>
      <x:c r="D46" s="30" t="n">
        <x:v>1.5</x:v>
      </x:c>
      <x:c r="E46" s="30" t="str">
        <x:v>红薯</x:v>
      </x:c>
      <x:c r="F46" s="30" t="n">
        <x:v>150</x:v>
      </x:c>
      <x:c r="G46" s="30" t="str">
        <x:v>g</x:v>
      </x:c>
      <x:c r="H46" s="30" t="str">
        <x:v>raw_edible_weight</x:v>
      </x:c>
      <x:c r="I46" s="30" t="n">
        <x:v>10</x:v>
      </x:c>
      <x:c r="J46" s="30" t="n">
        <x:v>225</x:v>
      </x:c>
      <x:c r="K46" s="30" t="str">
        <x:v>红薯230g</x:v>
      </x:c>
      <x:c r="L46" s="76" t="b">
        <x:v>1</x:v>
      </x:c>
      <x:c r="M46" s="30" t="str">
        <x:v>已按MDT确认的Ingredient Master min/max/step执行化；执行量变化后必须重算营养。</x:v>
      </x:c>
      <x:c r="N46" s="30" t="n">
        <x:v>230</x:v>
      </x:c>
    </x:row>
    <x:row r="47">
      <x:c r="A47" s="30" t="str">
        <x:v>C008</x:v>
      </x:c>
      <x:c r="B47" s="30" t="str">
        <x:v>荞麦面基础份</x:v>
      </x:c>
      <x:c r="C47" s="30" t="str">
        <x:v>LINEAR_WITH_EXECUTION_ROUNDING</x:v>
      </x:c>
      <x:c r="D47" s="30" t="n">
        <x:v>0.5</x:v>
      </x:c>
      <x:c r="E47" s="30" t="str">
        <x:v>荞麦面干</x:v>
      </x:c>
      <x:c r="F47" s="30" t="n">
        <x:v>60</x:v>
      </x:c>
      <x:c r="G47" s="30" t="str">
        <x:v>g</x:v>
      </x:c>
      <x:c r="H47" s="30" t="str">
        <x:v>dry_weight</x:v>
      </x:c>
      <x:c r="I47" s="30" t="n">
        <x:v>5</x:v>
      </x:c>
      <x:c r="J47" s="30" t="n">
        <x:v>30</x:v>
      </x:c>
      <x:c r="K47" s="30" t="str">
        <x:v>荞麦面干30g</x:v>
      </x:c>
      <x:c r="L47" s="76" t="b">
        <x:v>1</x:v>
      </x:c>
      <x:c r="M47" s="30" t="str">
        <x:v>已按MDT确认的Ingredient Master min/max/step执行化；执行量变化后必须重算营养。</x:v>
      </x:c>
      <x:c r="N47" s="30" t="n">
        <x:v>30</x:v>
      </x:c>
    </x:row>
    <x:row r="48">
      <x:c r="A48" s="30" t="str">
        <x:v>C008</x:v>
      </x:c>
      <x:c r="B48" s="30" t="str">
        <x:v>荞麦面基础份</x:v>
      </x:c>
      <x:c r="C48" s="30" t="str">
        <x:v>LINEAR_WITH_EXECUTION_ROUNDING</x:v>
      </x:c>
      <x:c r="D48" s="30" t="n">
        <x:v>0.75</x:v>
      </x:c>
      <x:c r="E48" s="30" t="str">
        <x:v>荞麦面干</x:v>
      </x:c>
      <x:c r="F48" s="30" t="n">
        <x:v>60</x:v>
      </x:c>
      <x:c r="G48" s="30" t="str">
        <x:v>g</x:v>
      </x:c>
      <x:c r="H48" s="30" t="str">
        <x:v>dry_weight</x:v>
      </x:c>
      <x:c r="I48" s="30" t="n">
        <x:v>5</x:v>
      </x:c>
      <x:c r="J48" s="30" t="n">
        <x:v>45</x:v>
      </x:c>
      <x:c r="K48" s="30" t="str">
        <x:v>荞麦面干45g</x:v>
      </x:c>
      <x:c r="L48" s="76" t="b">
        <x:v>1</x:v>
      </x:c>
      <x:c r="M48" s="30" t="str">
        <x:v>已按MDT确认的Ingredient Master min/max/step执行化；执行量变化后必须重算营养。</x:v>
      </x:c>
      <x:c r="N48" s="30" t="n">
        <x:v>45</x:v>
      </x:c>
    </x:row>
    <x:row r="49">
      <x:c r="A49" s="30" t="str">
        <x:v>C008</x:v>
      </x:c>
      <x:c r="B49" s="30" t="str">
        <x:v>荞麦面基础份</x:v>
      </x:c>
      <x:c r="C49" s="30" t="str">
        <x:v>LINEAR_WITH_EXECUTION_ROUNDING</x:v>
      </x:c>
      <x:c r="D49" s="30" t="n">
        <x:v>1</x:v>
      </x:c>
      <x:c r="E49" s="30" t="str">
        <x:v>荞麦面干</x:v>
      </x:c>
      <x:c r="F49" s="30" t="n">
        <x:v>60</x:v>
      </x:c>
      <x:c r="G49" s="30" t="str">
        <x:v>g</x:v>
      </x:c>
      <x:c r="H49" s="30" t="str">
        <x:v>dry_weight</x:v>
      </x:c>
      <x:c r="I49" s="30" t="n">
        <x:v>5</x:v>
      </x:c>
      <x:c r="J49" s="30" t="n">
        <x:v>60</x:v>
      </x:c>
      <x:c r="K49" s="30" t="str">
        <x:v>荞麦面干60g</x:v>
      </x:c>
      <x:c r="L49" s="76" t="b">
        <x:v>1</x:v>
      </x:c>
      <x:c r="M49" s="30" t="str">
        <x:v>已按MDT确认的Ingredient Master min/max/step执行化；执行量变化后必须重算营养。</x:v>
      </x:c>
      <x:c r="N49" s="30" t="n">
        <x:v>60</x:v>
      </x:c>
    </x:row>
    <x:row r="50">
      <x:c r="A50" s="30" t="str">
        <x:v>C008</x:v>
      </x:c>
      <x:c r="B50" s="30" t="str">
        <x:v>荞麦面基础份</x:v>
      </x:c>
      <x:c r="C50" s="30" t="str">
        <x:v>LINEAR_WITH_EXECUTION_ROUNDING</x:v>
      </x:c>
      <x:c r="D50" s="30" t="n">
        <x:v>1.25</x:v>
      </x:c>
      <x:c r="E50" s="30" t="str">
        <x:v>荞麦面干</x:v>
      </x:c>
      <x:c r="F50" s="30" t="n">
        <x:v>60</x:v>
      </x:c>
      <x:c r="G50" s="30" t="str">
        <x:v>g</x:v>
      </x:c>
      <x:c r="H50" s="30" t="str">
        <x:v>dry_weight</x:v>
      </x:c>
      <x:c r="I50" s="30" t="n">
        <x:v>5</x:v>
      </x:c>
      <x:c r="J50" s="30" t="n">
        <x:v>75</x:v>
      </x:c>
      <x:c r="K50" s="30" t="str">
        <x:v>荞麦面干75g</x:v>
      </x:c>
      <x:c r="L50" s="76" t="b">
        <x:v>1</x:v>
      </x:c>
      <x:c r="M50" s="30" t="str">
        <x:v>已按MDT确认的Ingredient Master min/max/step执行化；执行量变化后必须重算营养。</x:v>
      </x:c>
      <x:c r="N50" s="30" t="n">
        <x:v>75</x:v>
      </x:c>
    </x:row>
    <x:row r="51">
      <x:c r="A51" s="30" t="str">
        <x:v>C008</x:v>
      </x:c>
      <x:c r="B51" s="30" t="str">
        <x:v>荞麦面基础份</x:v>
      </x:c>
      <x:c r="C51" s="30" t="str">
        <x:v>LINEAR_WITH_EXECUTION_ROUNDING</x:v>
      </x:c>
      <x:c r="D51" s="30" t="n">
        <x:v>1.5</x:v>
      </x:c>
      <x:c r="E51" s="30" t="str">
        <x:v>荞麦面干</x:v>
      </x:c>
      <x:c r="F51" s="30" t="n">
        <x:v>60</x:v>
      </x:c>
      <x:c r="G51" s="30" t="str">
        <x:v>g</x:v>
      </x:c>
      <x:c r="H51" s="30" t="str">
        <x:v>dry_weight</x:v>
      </x:c>
      <x:c r="I51" s="30" t="n">
        <x:v>5</x:v>
      </x:c>
      <x:c r="J51" s="30" t="n">
        <x:v>90</x:v>
      </x:c>
      <x:c r="K51" s="30" t="str">
        <x:v>该scale超出Ingredient Master执行边界</x:v>
      </x:c>
      <x:c r="L51" s="76" t="b">
        <x:v>0</x:v>
      </x:c>
      <x:c r="M51" s="30" t="str">
        <x:v>禁止该scale；不得为保留统一0.5/0.75/1.25/1.5而突破基础食材边界。</x:v>
      </x:c>
      <x:c r="N51" s="30"/>
    </x:row>
    <x:row r="52">
      <x:c r="A52" s="30" t="str">
        <x:v>C009</x:v>
      </x:c>
      <x:c r="B52" s="30" t="str">
        <x:v>小米粥基础份</x:v>
      </x:c>
      <x:c r="C52" s="30" t="str">
        <x:v>LINEAR_WITH_EXECUTION_ROUNDING</x:v>
      </x:c>
      <x:c r="D52" s="30" t="n">
        <x:v>0.5</x:v>
      </x:c>
      <x:c r="E52" s="30" t="str">
        <x:v>小米</x:v>
      </x:c>
      <x:c r="F52" s="30" t="n">
        <x:v>40</x:v>
      </x:c>
      <x:c r="G52" s="30" t="str">
        <x:v>g</x:v>
      </x:c>
      <x:c r="H52" s="30" t="str">
        <x:v>dry_weight</x:v>
      </x:c>
      <x:c r="I52" s="30" t="n">
        <x:v>5</x:v>
      </x:c>
      <x:c r="J52" s="30" t="n">
        <x:v>20</x:v>
      </x:c>
      <x:c r="K52" s="30" t="str">
        <x:v>小米20g</x:v>
      </x:c>
      <x:c r="L52" s="76" t="b">
        <x:v>1</x:v>
      </x:c>
      <x:c r="M52" s="30" t="str">
        <x:v>已按MDT确认的Ingredient Master min/max/step执行化；执行量变化后必须重算营养。</x:v>
      </x:c>
      <x:c r="N52" s="30" t="n">
        <x:v>20</x:v>
      </x:c>
    </x:row>
    <x:row r="53">
      <x:c r="A53" s="30" t="str">
        <x:v>C009</x:v>
      </x:c>
      <x:c r="B53" s="30" t="str">
        <x:v>小米粥基础份</x:v>
      </x:c>
      <x:c r="C53" s="30" t="str">
        <x:v>LINEAR_WITH_EXECUTION_ROUNDING</x:v>
      </x:c>
      <x:c r="D53" s="30" t="n">
        <x:v>0.75</x:v>
      </x:c>
      <x:c r="E53" s="30" t="str">
        <x:v>小米</x:v>
      </x:c>
      <x:c r="F53" s="30" t="n">
        <x:v>40</x:v>
      </x:c>
      <x:c r="G53" s="30" t="str">
        <x:v>g</x:v>
      </x:c>
      <x:c r="H53" s="30" t="str">
        <x:v>dry_weight</x:v>
      </x:c>
      <x:c r="I53" s="30" t="n">
        <x:v>5</x:v>
      </x:c>
      <x:c r="J53" s="30" t="n">
        <x:v>30</x:v>
      </x:c>
      <x:c r="K53" s="30" t="str">
        <x:v>小米30g</x:v>
      </x:c>
      <x:c r="L53" s="76" t="b">
        <x:v>1</x:v>
      </x:c>
      <x:c r="M53" s="30" t="str">
        <x:v>已按MDT确认的Ingredient Master min/max/step执行化；执行量变化后必须重算营养。</x:v>
      </x:c>
      <x:c r="N53" s="30" t="n">
        <x:v>30</x:v>
      </x:c>
    </x:row>
    <x:row r="54">
      <x:c r="A54" s="30" t="str">
        <x:v>C009</x:v>
      </x:c>
      <x:c r="B54" s="30" t="str">
        <x:v>小米粥基础份</x:v>
      </x:c>
      <x:c r="C54" s="30" t="str">
        <x:v>LINEAR_WITH_EXECUTION_ROUNDING</x:v>
      </x:c>
      <x:c r="D54" s="30" t="n">
        <x:v>1</x:v>
      </x:c>
      <x:c r="E54" s="30" t="str">
        <x:v>小米</x:v>
      </x:c>
      <x:c r="F54" s="30" t="n">
        <x:v>40</x:v>
      </x:c>
      <x:c r="G54" s="30" t="str">
        <x:v>g</x:v>
      </x:c>
      <x:c r="H54" s="30" t="str">
        <x:v>dry_weight</x:v>
      </x:c>
      <x:c r="I54" s="30" t="n">
        <x:v>5</x:v>
      </x:c>
      <x:c r="J54" s="30" t="n">
        <x:v>40</x:v>
      </x:c>
      <x:c r="K54" s="30" t="str">
        <x:v>小米40g</x:v>
      </x:c>
      <x:c r="L54" s="76" t="b">
        <x:v>1</x:v>
      </x:c>
      <x:c r="M54" s="30" t="str">
        <x:v>已按MDT确认的Ingredient Master min/max/step执行化；执行量变化后必须重算营养。</x:v>
      </x:c>
      <x:c r="N54" s="30" t="n">
        <x:v>40</x:v>
      </x:c>
    </x:row>
    <x:row r="55">
      <x:c r="A55" s="30" t="str">
        <x:v>C009</x:v>
      </x:c>
      <x:c r="B55" s="30" t="str">
        <x:v>小米粥基础份</x:v>
      </x:c>
      <x:c r="C55" s="30" t="str">
        <x:v>LINEAR_WITH_EXECUTION_ROUNDING</x:v>
      </x:c>
      <x:c r="D55" s="30" t="n">
        <x:v>1.25</x:v>
      </x:c>
      <x:c r="E55" s="30" t="str">
        <x:v>小米</x:v>
      </x:c>
      <x:c r="F55" s="30" t="n">
        <x:v>40</x:v>
      </x:c>
      <x:c r="G55" s="30" t="str">
        <x:v>g</x:v>
      </x:c>
      <x:c r="H55" s="30" t="str">
        <x:v>dry_weight</x:v>
      </x:c>
      <x:c r="I55" s="30" t="n">
        <x:v>5</x:v>
      </x:c>
      <x:c r="J55" s="30" t="n">
        <x:v>50</x:v>
      </x:c>
      <x:c r="K55" s="30" t="str">
        <x:v>小米50g</x:v>
      </x:c>
      <x:c r="L55" s="76" t="b">
        <x:v>1</x:v>
      </x:c>
      <x:c r="M55" s="30" t="str">
        <x:v>已按MDT确认的Ingredient Master min/max/step执行化；执行量变化后必须重算营养。</x:v>
      </x:c>
      <x:c r="N55" s="30" t="n">
        <x:v>50</x:v>
      </x:c>
    </x:row>
    <x:row r="56">
      <x:c r="A56" s="30" t="str">
        <x:v>C009</x:v>
      </x:c>
      <x:c r="B56" s="30" t="str">
        <x:v>小米粥基础份</x:v>
      </x:c>
      <x:c r="C56" s="30" t="str">
        <x:v>LINEAR_WITH_EXECUTION_ROUNDING</x:v>
      </x:c>
      <x:c r="D56" s="30" t="n">
        <x:v>1.5</x:v>
      </x:c>
      <x:c r="E56" s="30" t="str">
        <x:v>小米</x:v>
      </x:c>
      <x:c r="F56" s="30" t="n">
        <x:v>40</x:v>
      </x:c>
      <x:c r="G56" s="30" t="str">
        <x:v>g</x:v>
      </x:c>
      <x:c r="H56" s="30" t="str">
        <x:v>dry_weight</x:v>
      </x:c>
      <x:c r="I56" s="30" t="n">
        <x:v>5</x:v>
      </x:c>
      <x:c r="J56" s="30" t="n">
        <x:v>60</x:v>
      </x:c>
      <x:c r="K56" s="30" t="str">
        <x:v>小米60g</x:v>
      </x:c>
      <x:c r="L56" s="76" t="b">
        <x:v>1</x:v>
      </x:c>
      <x:c r="M56" s="30" t="str">
        <x:v>已按MDT确认的Ingredient Master min/max/step执行化；执行量变化后必须重算营养。</x:v>
      </x:c>
      <x:c r="N56" s="30" t="n">
        <x:v>60</x:v>
      </x:c>
    </x:row>
    <x:row r="57">
      <x:c r="A57" s="30" t="str">
        <x:v>C010</x:v>
      </x:c>
      <x:c r="B57" s="30" t="str">
        <x:v>红豆小米粥</x:v>
      </x:c>
      <x:c r="C57" s="30" t="str">
        <x:v>LINEAR_WITH_EXECUTION_ROUNDING</x:v>
      </x:c>
      <x:c r="D57" s="30" t="n">
        <x:v>0.5</x:v>
      </x:c>
      <x:c r="E57" s="30" t="str">
        <x:v>小米</x:v>
      </x:c>
      <x:c r="F57" s="30" t="n">
        <x:v>30</x:v>
      </x:c>
      <x:c r="G57" s="30" t="str">
        <x:v>g</x:v>
      </x:c>
      <x:c r="H57" s="30" t="str">
        <x:v>dry_weight</x:v>
      </x:c>
      <x:c r="I57" s="30" t="n">
        <x:v>5</x:v>
      </x:c>
      <x:c r="J57" s="30" t="n">
        <x:v>15</x:v>
      </x:c>
      <x:c r="K57" s="30" t="str">
        <x:v>小米15g</x:v>
      </x:c>
      <x:c r="L57" s="76" t="b">
        <x:v>1</x:v>
      </x:c>
      <x:c r="M57" s="30" t="str">
        <x:v>已按MDT确认的Ingredient Master min/max/step执行化；执行量变化后必须重算营养。</x:v>
      </x:c>
      <x:c r="N57" s="30" t="n">
        <x:v>15</x:v>
      </x:c>
    </x:row>
    <x:row r="58">
      <x:c r="A58" s="30" t="str">
        <x:v>C010</x:v>
      </x:c>
      <x:c r="B58" s="30" t="str">
        <x:v>红豆小米粥</x:v>
      </x:c>
      <x:c r="C58" s="30" t="str">
        <x:v>LINEAR_WITH_EXECUTION_ROUNDING</x:v>
      </x:c>
      <x:c r="D58" s="30" t="n">
        <x:v>0.5</x:v>
      </x:c>
      <x:c r="E58" s="30" t="str">
        <x:v>赤小豆干</x:v>
      </x:c>
      <x:c r="F58" s="30" t="n">
        <x:v>10</x:v>
      </x:c>
      <x:c r="G58" s="30" t="str">
        <x:v>g</x:v>
      </x:c>
      <x:c r="H58" s="30" t="str">
        <x:v>dry_weight</x:v>
      </x:c>
      <x:c r="I58" s="30" t="n">
        <x:v>5</x:v>
      </x:c>
      <x:c r="J58" s="30" t="n">
        <x:v>5</x:v>
      </x:c>
      <x:c r="K58" s="30" t="str">
        <x:v>赤小豆干5g</x:v>
      </x:c>
      <x:c r="L58" s="76" t="b">
        <x:v>1</x:v>
      </x:c>
      <x:c r="M58" s="30" t="str">
        <x:v>已按MDT确认的Ingredient Master min/max/step执行化；执行量变化后必须重算营养。</x:v>
      </x:c>
      <x:c r="N58" s="30" t="n">
        <x:v>5</x:v>
      </x:c>
    </x:row>
    <x:row r="59">
      <x:c r="A59" s="30" t="str">
        <x:v>C010</x:v>
      </x:c>
      <x:c r="B59" s="30" t="str">
        <x:v>红豆小米粥</x:v>
      </x:c>
      <x:c r="C59" s="30" t="str">
        <x:v>LINEAR_WITH_EXECUTION_ROUNDING</x:v>
      </x:c>
      <x:c r="D59" s="30" t="n">
        <x:v>0.75</x:v>
      </x:c>
      <x:c r="E59" s="30" t="str">
        <x:v>小米</x:v>
      </x:c>
      <x:c r="F59" s="30" t="n">
        <x:v>30</x:v>
      </x:c>
      <x:c r="G59" s="30" t="str">
        <x:v>g</x:v>
      </x:c>
      <x:c r="H59" s="30" t="str">
        <x:v>dry_weight</x:v>
      </x:c>
      <x:c r="I59" s="30" t="n">
        <x:v>5</x:v>
      </x:c>
      <x:c r="J59" s="30" t="n">
        <x:v>22.5</x:v>
      </x:c>
      <x:c r="K59" s="30" t="str">
        <x:v>小米25g</x:v>
      </x:c>
      <x:c r="L59" s="76" t="b">
        <x:v>1</x:v>
      </x:c>
      <x:c r="M59" s="30" t="str">
        <x:v>已按MDT确认的Ingredient Master min/max/step执行化；执行量变化后必须重算营养。</x:v>
      </x:c>
      <x:c r="N59" s="30" t="n">
        <x:v>25</x:v>
      </x:c>
    </x:row>
    <x:row r="60">
      <x:c r="A60" s="30" t="str">
        <x:v>C010</x:v>
      </x:c>
      <x:c r="B60" s="30" t="str">
        <x:v>红豆小米粥</x:v>
      </x:c>
      <x:c r="C60" s="30" t="str">
        <x:v>LINEAR_WITH_EXECUTION_ROUNDING</x:v>
      </x:c>
      <x:c r="D60" s="30" t="n">
        <x:v>0.75</x:v>
      </x:c>
      <x:c r="E60" s="30" t="str">
        <x:v>赤小豆干</x:v>
      </x:c>
      <x:c r="F60" s="30" t="n">
        <x:v>10</x:v>
      </x:c>
      <x:c r="G60" s="30" t="str">
        <x:v>g</x:v>
      </x:c>
      <x:c r="H60" s="30" t="str">
        <x:v>dry_weight</x:v>
      </x:c>
      <x:c r="I60" s="30" t="n">
        <x:v>5</x:v>
      </x:c>
      <x:c r="J60" s="30" t="n">
        <x:v>7.5</x:v>
      </x:c>
      <x:c r="K60" s="30" t="str">
        <x:v>赤小豆干10g</x:v>
      </x:c>
      <x:c r="L60" s="76" t="b">
        <x:v>1</x:v>
      </x:c>
      <x:c r="M60" s="30" t="str">
        <x:v>已按MDT确认的Ingredient Master min/max/step执行化；执行量变化后必须重算营养。</x:v>
      </x:c>
      <x:c r="N60" s="30" t="n">
        <x:v>10</x:v>
      </x:c>
    </x:row>
    <x:row r="61">
      <x:c r="A61" s="30" t="str">
        <x:v>C010</x:v>
      </x:c>
      <x:c r="B61" s="30" t="str">
        <x:v>红豆小米粥</x:v>
      </x:c>
      <x:c r="C61" s="30" t="str">
        <x:v>LINEAR_WITH_EXECUTION_ROUNDING</x:v>
      </x:c>
      <x:c r="D61" s="30" t="n">
        <x:v>1</x:v>
      </x:c>
      <x:c r="E61" s="30" t="str">
        <x:v>小米</x:v>
      </x:c>
      <x:c r="F61" s="30" t="n">
        <x:v>30</x:v>
      </x:c>
      <x:c r="G61" s="30" t="str">
        <x:v>g</x:v>
      </x:c>
      <x:c r="H61" s="30" t="str">
        <x:v>dry_weight</x:v>
      </x:c>
      <x:c r="I61" s="30" t="n">
        <x:v>5</x:v>
      </x:c>
      <x:c r="J61" s="30" t="n">
        <x:v>30</x:v>
      </x:c>
      <x:c r="K61" s="30" t="str">
        <x:v>小米30g</x:v>
      </x:c>
      <x:c r="L61" s="76" t="b">
        <x:v>1</x:v>
      </x:c>
      <x:c r="M61" s="30" t="str">
        <x:v>已按MDT确认的Ingredient Master min/max/step执行化；执行量变化后必须重算营养。</x:v>
      </x:c>
      <x:c r="N61" s="30" t="n">
        <x:v>30</x:v>
      </x:c>
    </x:row>
    <x:row r="62">
      <x:c r="A62" s="30" t="str">
        <x:v>C010</x:v>
      </x:c>
      <x:c r="B62" s="30" t="str">
        <x:v>红豆小米粥</x:v>
      </x:c>
      <x:c r="C62" s="30" t="str">
        <x:v>LINEAR_WITH_EXECUTION_ROUNDING</x:v>
      </x:c>
      <x:c r="D62" s="30" t="n">
        <x:v>1</x:v>
      </x:c>
      <x:c r="E62" s="30" t="str">
        <x:v>赤小豆干</x:v>
      </x:c>
      <x:c r="F62" s="30" t="n">
        <x:v>10</x:v>
      </x:c>
      <x:c r="G62" s="30" t="str">
        <x:v>g</x:v>
      </x:c>
      <x:c r="H62" s="30" t="str">
        <x:v>dry_weight</x:v>
      </x:c>
      <x:c r="I62" s="30" t="n">
        <x:v>5</x:v>
      </x:c>
      <x:c r="J62" s="30" t="n">
        <x:v>10</x:v>
      </x:c>
      <x:c r="K62" s="30" t="str">
        <x:v>赤小豆干10g</x:v>
      </x:c>
      <x:c r="L62" s="76" t="b">
        <x:v>1</x:v>
      </x:c>
      <x:c r="M62" s="30" t="str">
        <x:v>已按MDT确认的Ingredient Master min/max/step执行化；执行量变化后必须重算营养。</x:v>
      </x:c>
      <x:c r="N62" s="30" t="n">
        <x:v>10</x:v>
      </x:c>
    </x:row>
    <x:row r="63">
      <x:c r="A63" s="30" t="str">
        <x:v>C010</x:v>
      </x:c>
      <x:c r="B63" s="30" t="str">
        <x:v>红豆小米粥</x:v>
      </x:c>
      <x:c r="C63" s="30" t="str">
        <x:v>LINEAR_WITH_EXECUTION_ROUNDING</x:v>
      </x:c>
      <x:c r="D63" s="30" t="n">
        <x:v>1.25</x:v>
      </x:c>
      <x:c r="E63" s="30" t="str">
        <x:v>小米</x:v>
      </x:c>
      <x:c r="F63" s="30" t="n">
        <x:v>30</x:v>
      </x:c>
      <x:c r="G63" s="30" t="str">
        <x:v>g</x:v>
      </x:c>
      <x:c r="H63" s="30" t="str">
        <x:v>dry_weight</x:v>
      </x:c>
      <x:c r="I63" s="30" t="n">
        <x:v>5</x:v>
      </x:c>
      <x:c r="J63" s="30" t="n">
        <x:v>37.5</x:v>
      </x:c>
      <x:c r="K63" s="30" t="str">
        <x:v>小米40g</x:v>
      </x:c>
      <x:c r="L63" s="76" t="b">
        <x:v>1</x:v>
      </x:c>
      <x:c r="M63" s="30" t="str">
        <x:v>已按MDT确认的Ingredient Master min/max/step执行化；执行量变化后必须重算营养。</x:v>
      </x:c>
      <x:c r="N63" s="30" t="n">
        <x:v>40</x:v>
      </x:c>
    </x:row>
    <x:row r="64">
      <x:c r="A64" s="30" t="str">
        <x:v>C010</x:v>
      </x:c>
      <x:c r="B64" s="30" t="str">
        <x:v>红豆小米粥</x:v>
      </x:c>
      <x:c r="C64" s="30" t="str">
        <x:v>LINEAR_WITH_EXECUTION_ROUNDING</x:v>
      </x:c>
      <x:c r="D64" s="30" t="n">
        <x:v>1.25</x:v>
      </x:c>
      <x:c r="E64" s="30" t="str">
        <x:v>赤小豆干</x:v>
      </x:c>
      <x:c r="F64" s="30" t="n">
        <x:v>10</x:v>
      </x:c>
      <x:c r="G64" s="30" t="str">
        <x:v>g</x:v>
      </x:c>
      <x:c r="H64" s="30" t="str">
        <x:v>dry_weight</x:v>
      </x:c>
      <x:c r="I64" s="30" t="n">
        <x:v>5</x:v>
      </x:c>
      <x:c r="J64" s="30" t="n">
        <x:v>12.5</x:v>
      </x:c>
      <x:c r="K64" s="30" t="str">
        <x:v>赤小豆干15g</x:v>
      </x:c>
      <x:c r="L64" s="76" t="b">
        <x:v>1</x:v>
      </x:c>
      <x:c r="M64" s="30" t="str">
        <x:v>已按MDT确认的Ingredient Master min/max/step执行化；执行量变化后必须重算营养。</x:v>
      </x:c>
      <x:c r="N64" s="30" t="n">
        <x:v>15</x:v>
      </x:c>
    </x:row>
    <x:row r="65">
      <x:c r="A65" s="30" t="str">
        <x:v>C010</x:v>
      </x:c>
      <x:c r="B65" s="30" t="str">
        <x:v>红豆小米粥</x:v>
      </x:c>
      <x:c r="C65" s="30" t="str">
        <x:v>LINEAR_WITH_EXECUTION_ROUNDING</x:v>
      </x:c>
      <x:c r="D65" s="30" t="n">
        <x:v>1.5</x:v>
      </x:c>
      <x:c r="E65" s="30" t="str">
        <x:v>小米</x:v>
      </x:c>
      <x:c r="F65" s="30" t="n">
        <x:v>30</x:v>
      </x:c>
      <x:c r="G65" s="30" t="str">
        <x:v>g</x:v>
      </x:c>
      <x:c r="H65" s="30" t="str">
        <x:v>dry_weight</x:v>
      </x:c>
      <x:c r="I65" s="30" t="n">
        <x:v>5</x:v>
      </x:c>
      <x:c r="J65" s="30" t="n">
        <x:v>45</x:v>
      </x:c>
      <x:c r="K65" s="30" t="str">
        <x:v>小米45g</x:v>
      </x:c>
      <x:c r="L65" s="76" t="b">
        <x:v>1</x:v>
      </x:c>
      <x:c r="M65" s="30" t="str">
        <x:v>已按MDT确认的Ingredient Master min/max/step执行化；执行量变化后必须重算营养。</x:v>
      </x:c>
      <x:c r="N65" s="30" t="n">
        <x:v>45</x:v>
      </x:c>
    </x:row>
    <x:row r="66">
      <x:c r="A66" s="30" t="str">
        <x:v>C010</x:v>
      </x:c>
      <x:c r="B66" s="30" t="str">
        <x:v>红豆小米粥</x:v>
      </x:c>
      <x:c r="C66" s="30" t="str">
        <x:v>LINEAR_WITH_EXECUTION_ROUNDING</x:v>
      </x:c>
      <x:c r="D66" s="30" t="n">
        <x:v>1.5</x:v>
      </x:c>
      <x:c r="E66" s="30" t="str">
        <x:v>赤小豆干</x:v>
      </x:c>
      <x:c r="F66" s="30" t="n">
        <x:v>10</x:v>
      </x:c>
      <x:c r="G66" s="30" t="str">
        <x:v>g</x:v>
      </x:c>
      <x:c r="H66" s="30" t="str">
        <x:v>dry_weight</x:v>
      </x:c>
      <x:c r="I66" s="30" t="n">
        <x:v>5</x:v>
      </x:c>
      <x:c r="J66" s="30" t="n">
        <x:v>15</x:v>
      </x:c>
      <x:c r="K66" s="30" t="str">
        <x:v>赤小豆干15g</x:v>
      </x:c>
      <x:c r="L66" s="76" t="b">
        <x:v>1</x:v>
      </x:c>
      <x:c r="M66" s="30" t="str">
        <x:v>已按MDT确认的Ingredient Master min/max/step执行化；执行量变化后必须重算营养。</x:v>
      </x:c>
      <x:c r="N66" s="30" t="n">
        <x:v>15</x:v>
      </x:c>
    </x:row>
    <x:row r="67">
      <x:c r="A67" s="30" t="str">
        <x:v>C011</x:v>
      </x:c>
      <x:c r="B67" s="30" t="str">
        <x:v>全麦面包基础份</x:v>
      </x:c>
      <x:c r="C67" s="30" t="str">
        <x:v>LINEAR_WITH_EXECUTION_ROUNDING</x:v>
      </x:c>
      <x:c r="D67" s="30" t="n">
        <x:v>0.5</x:v>
      </x:c>
      <x:c r="E67" s="30" t="str">
        <x:v>全麦面包</x:v>
      </x:c>
      <x:c r="F67" s="30" t="n">
        <x:v>70</x:v>
      </x:c>
      <x:c r="G67" s="30" t="str">
        <x:v>g</x:v>
      </x:c>
      <x:c r="H67" s="30" t="str">
        <x:v>ready_to_eat_weight</x:v>
      </x:c>
      <x:c r="I67" s="30" t="n">
        <x:v>5</x:v>
      </x:c>
      <x:c r="J67" s="30" t="n">
        <x:v>35</x:v>
      </x:c>
      <x:c r="K67" s="30" t="str">
        <x:v>全麦面包35g</x:v>
      </x:c>
      <x:c r="L67" s="76" t="b">
        <x:v>1</x:v>
      </x:c>
      <x:c r="M67" s="30" t="str">
        <x:v>已按MDT确认的Ingredient Master min/max/step执行化；执行量变化后必须重算营养。</x:v>
      </x:c>
      <x:c r="N67" s="30" t="n">
        <x:v>35</x:v>
      </x:c>
    </x:row>
    <x:row r="68">
      <x:c r="A68" s="30" t="str">
        <x:v>C011</x:v>
      </x:c>
      <x:c r="B68" s="30" t="str">
        <x:v>全麦面包基础份</x:v>
      </x:c>
      <x:c r="C68" s="30" t="str">
        <x:v>LINEAR_WITH_EXECUTION_ROUNDING</x:v>
      </x:c>
      <x:c r="D68" s="30" t="n">
        <x:v>0.75</x:v>
      </x:c>
      <x:c r="E68" s="30" t="str">
        <x:v>全麦面包</x:v>
      </x:c>
      <x:c r="F68" s="30" t="n">
        <x:v>70</x:v>
      </x:c>
      <x:c r="G68" s="30" t="str">
        <x:v>g</x:v>
      </x:c>
      <x:c r="H68" s="30" t="str">
        <x:v>ready_to_eat_weight</x:v>
      </x:c>
      <x:c r="I68" s="30" t="n">
        <x:v>5</x:v>
      </x:c>
      <x:c r="J68" s="30" t="n">
        <x:v>52.5</x:v>
      </x:c>
      <x:c r="K68" s="30" t="str">
        <x:v>全麦面包55g</x:v>
      </x:c>
      <x:c r="L68" s="76" t="b">
        <x:v>1</x:v>
      </x:c>
      <x:c r="M68" s="30" t="str">
        <x:v>已按MDT确认的Ingredient Master min/max/step执行化；执行量变化后必须重算营养。</x:v>
      </x:c>
      <x:c r="N68" s="30" t="n">
        <x:v>55</x:v>
      </x:c>
    </x:row>
    <x:row r="69">
      <x:c r="A69" s="30" t="str">
        <x:v>C011</x:v>
      </x:c>
      <x:c r="B69" s="30" t="str">
        <x:v>全麦面包基础份</x:v>
      </x:c>
      <x:c r="C69" s="30" t="str">
        <x:v>LINEAR_WITH_EXECUTION_ROUNDING</x:v>
      </x:c>
      <x:c r="D69" s="30" t="n">
        <x:v>1</x:v>
      </x:c>
      <x:c r="E69" s="30" t="str">
        <x:v>全麦面包</x:v>
      </x:c>
      <x:c r="F69" s="30" t="n">
        <x:v>70</x:v>
      </x:c>
      <x:c r="G69" s="30" t="str">
        <x:v>g</x:v>
      </x:c>
      <x:c r="H69" s="30" t="str">
        <x:v>ready_to_eat_weight</x:v>
      </x:c>
      <x:c r="I69" s="30" t="n">
        <x:v>5</x:v>
      </x:c>
      <x:c r="J69" s="30" t="n">
        <x:v>70</x:v>
      </x:c>
      <x:c r="K69" s="30" t="str">
        <x:v>全麦面包70g</x:v>
      </x:c>
      <x:c r="L69" s="76" t="b">
        <x:v>1</x:v>
      </x:c>
      <x:c r="M69" s="30" t="str">
        <x:v>已按MDT确认的Ingredient Master min/max/step执行化；执行量变化后必须重算营养。</x:v>
      </x:c>
      <x:c r="N69" s="30" t="n">
        <x:v>70</x:v>
      </x:c>
    </x:row>
    <x:row r="70">
      <x:c r="A70" s="30" t="str">
        <x:v>C011</x:v>
      </x:c>
      <x:c r="B70" s="30" t="str">
        <x:v>全麦面包基础份</x:v>
      </x:c>
      <x:c r="C70" s="30" t="str">
        <x:v>LINEAR_WITH_EXECUTION_ROUNDING</x:v>
      </x:c>
      <x:c r="D70" s="30" t="n">
        <x:v>1.25</x:v>
      </x:c>
      <x:c r="E70" s="30" t="str">
        <x:v>全麦面包</x:v>
      </x:c>
      <x:c r="F70" s="30" t="n">
        <x:v>70</x:v>
      </x:c>
      <x:c r="G70" s="30" t="str">
        <x:v>g</x:v>
      </x:c>
      <x:c r="H70" s="30" t="str">
        <x:v>ready_to_eat_weight</x:v>
      </x:c>
      <x:c r="I70" s="30" t="n">
        <x:v>5</x:v>
      </x:c>
      <x:c r="J70" s="30" t="n">
        <x:v>87.5</x:v>
      </x:c>
      <x:c r="K70" s="30" t="str">
        <x:v>全麦面包90g</x:v>
      </x:c>
      <x:c r="L70" s="76" t="b">
        <x:v>1</x:v>
      </x:c>
      <x:c r="M70" s="30" t="str">
        <x:v>已按MDT确认的Ingredient Master min/max/step执行化；执行量变化后必须重算营养。</x:v>
      </x:c>
      <x:c r="N70" s="30" t="n">
        <x:v>90</x:v>
      </x:c>
    </x:row>
    <x:row r="71">
      <x:c r="A71" s="30" t="str">
        <x:v>C011</x:v>
      </x:c>
      <x:c r="B71" s="30" t="str">
        <x:v>全麦面包基础份</x:v>
      </x:c>
      <x:c r="C71" s="30" t="str">
        <x:v>LINEAR_WITH_EXECUTION_ROUNDING</x:v>
      </x:c>
      <x:c r="D71" s="30" t="n">
        <x:v>1.5</x:v>
      </x:c>
      <x:c r="E71" s="30" t="str">
        <x:v>全麦面包</x:v>
      </x:c>
      <x:c r="F71" s="30" t="n">
        <x:v>70</x:v>
      </x:c>
      <x:c r="G71" s="30" t="str">
        <x:v>g</x:v>
      </x:c>
      <x:c r="H71" s="30" t="str">
        <x:v>ready_to_eat_weight</x:v>
      </x:c>
      <x:c r="I71" s="30" t="n">
        <x:v>5</x:v>
      </x:c>
      <x:c r="J71" s="30" t="n">
        <x:v>105</x:v>
      </x:c>
      <x:c r="K71" s="30" t="str">
        <x:v>该scale超出Ingredient Master执行边界</x:v>
      </x:c>
      <x:c r="L71" s="76" t="b">
        <x:v>0</x:v>
      </x:c>
      <x:c r="M71" s="30" t="str">
        <x:v>禁止该scale；不得为保留统一0.5/0.75/1.25/1.5而突破基础食材边界。</x:v>
      </x:c>
      <x:c r="N71" s="30"/>
    </x:row>
    <x:row r="72">
      <x:c r="A72" s="30" t="str">
        <x:v>C012</x:v>
      </x:c>
      <x:c r="B72" s="30" t="str">
        <x:v>山药主食份</x:v>
      </x:c>
      <x:c r="C72" s="30" t="str">
        <x:v>LINEAR_WITH_EXECUTION_ROUNDING</x:v>
      </x:c>
      <x:c r="D72" s="30" t="n">
        <x:v>0.5</x:v>
      </x:c>
      <x:c r="E72" s="30" t="str">
        <x:v>山药</x:v>
      </x:c>
      <x:c r="F72" s="30" t="n">
        <x:v>200</x:v>
      </x:c>
      <x:c r="G72" s="30" t="str">
        <x:v>g</x:v>
      </x:c>
      <x:c r="H72" s="30" t="str">
        <x:v>raw_edible_weight</x:v>
      </x:c>
      <x:c r="I72" s="30" t="n">
        <x:v>10</x:v>
      </x:c>
      <x:c r="J72" s="30" t="n">
        <x:v>100</x:v>
      </x:c>
      <x:c r="K72" s="30" t="str">
        <x:v>山药100g</x:v>
      </x:c>
      <x:c r="L72" s="76" t="b">
        <x:v>1</x:v>
      </x:c>
      <x:c r="M72" s="30" t="str">
        <x:v>已按MDT确认的Ingredient Master min/max/step执行化；执行量变化后必须重算营养。</x:v>
      </x:c>
      <x:c r="N72" s="30" t="n">
        <x:v>100</x:v>
      </x:c>
    </x:row>
    <x:row r="73">
      <x:c r="A73" s="30" t="str">
        <x:v>C012</x:v>
      </x:c>
      <x:c r="B73" s="30" t="str">
        <x:v>山药主食份</x:v>
      </x:c>
      <x:c r="C73" s="30" t="str">
        <x:v>LINEAR_WITH_EXECUTION_ROUNDING</x:v>
      </x:c>
      <x:c r="D73" s="30" t="n">
        <x:v>0.75</x:v>
      </x:c>
      <x:c r="E73" s="30" t="str">
        <x:v>山药</x:v>
      </x:c>
      <x:c r="F73" s="30" t="n">
        <x:v>200</x:v>
      </x:c>
      <x:c r="G73" s="30" t="str">
        <x:v>g</x:v>
      </x:c>
      <x:c r="H73" s="30" t="str">
        <x:v>raw_edible_weight</x:v>
      </x:c>
      <x:c r="I73" s="30" t="n">
        <x:v>10</x:v>
      </x:c>
      <x:c r="J73" s="30" t="n">
        <x:v>150</x:v>
      </x:c>
      <x:c r="K73" s="30" t="str">
        <x:v>山药150g</x:v>
      </x:c>
      <x:c r="L73" s="76" t="b">
        <x:v>1</x:v>
      </x:c>
      <x:c r="M73" s="30" t="str">
        <x:v>已按MDT确认的Ingredient Master min/max/step执行化；执行量变化后必须重算营养。</x:v>
      </x:c>
      <x:c r="N73" s="30" t="n">
        <x:v>150</x:v>
      </x:c>
    </x:row>
    <x:row r="74">
      <x:c r="A74" s="30" t="str">
        <x:v>C012</x:v>
      </x:c>
      <x:c r="B74" s="30" t="str">
        <x:v>山药主食份</x:v>
      </x:c>
      <x:c r="C74" s="30" t="str">
        <x:v>LINEAR_WITH_EXECUTION_ROUNDING</x:v>
      </x:c>
      <x:c r="D74" s="30" t="n">
        <x:v>1</x:v>
      </x:c>
      <x:c r="E74" s="30" t="str">
        <x:v>山药</x:v>
      </x:c>
      <x:c r="F74" s="30" t="n">
        <x:v>200</x:v>
      </x:c>
      <x:c r="G74" s="30" t="str">
        <x:v>g</x:v>
      </x:c>
      <x:c r="H74" s="30" t="str">
        <x:v>raw_edible_weight</x:v>
      </x:c>
      <x:c r="I74" s="30" t="n">
        <x:v>10</x:v>
      </x:c>
      <x:c r="J74" s="30" t="n">
        <x:v>200</x:v>
      </x:c>
      <x:c r="K74" s="30" t="str">
        <x:v>山药200g</x:v>
      </x:c>
      <x:c r="L74" s="76" t="b">
        <x:v>1</x:v>
      </x:c>
      <x:c r="M74" s="30" t="str">
        <x:v>已按MDT确认的Ingredient Master min/max/step执行化；执行量变化后必须重算营养。</x:v>
      </x:c>
      <x:c r="N74" s="30" t="n">
        <x:v>200</x:v>
      </x:c>
    </x:row>
    <x:row r="75">
      <x:c r="A75" s="30" t="str">
        <x:v>C012</x:v>
      </x:c>
      <x:c r="B75" s="30" t="str">
        <x:v>山药主食份</x:v>
      </x:c>
      <x:c r="C75" s="30" t="str">
        <x:v>LINEAR_WITH_EXECUTION_ROUNDING</x:v>
      </x:c>
      <x:c r="D75" s="30" t="n">
        <x:v>1.25</x:v>
      </x:c>
      <x:c r="E75" s="30" t="str">
        <x:v>山药</x:v>
      </x:c>
      <x:c r="F75" s="30" t="n">
        <x:v>200</x:v>
      </x:c>
      <x:c r="G75" s="30" t="str">
        <x:v>g</x:v>
      </x:c>
      <x:c r="H75" s="30" t="str">
        <x:v>raw_edible_weight</x:v>
      </x:c>
      <x:c r="I75" s="30" t="n">
        <x:v>10</x:v>
      </x:c>
      <x:c r="J75" s="30" t="n">
        <x:v>250</x:v>
      </x:c>
      <x:c r="K75" s="30" t="str">
        <x:v>山药250g</x:v>
      </x:c>
      <x:c r="L75" s="76" t="b">
        <x:v>1</x:v>
      </x:c>
      <x:c r="M75" s="30" t="str">
        <x:v>已按MDT确认的Ingredient Master min/max/step执行化；执行量变化后必须重算营养。</x:v>
      </x:c>
      <x:c r="N75" s="30" t="n">
        <x:v>250</x:v>
      </x:c>
    </x:row>
    <x:row r="76">
      <x:c r="A76" s="30" t="str">
        <x:v>C012</x:v>
      </x:c>
      <x:c r="B76" s="30" t="str">
        <x:v>山药主食份</x:v>
      </x:c>
      <x:c r="C76" s="30" t="str">
        <x:v>LINEAR_WITH_EXECUTION_ROUNDING</x:v>
      </x:c>
      <x:c r="D76" s="30" t="n">
        <x:v>1.5</x:v>
      </x:c>
      <x:c r="E76" s="30" t="str">
        <x:v>山药</x:v>
      </x:c>
      <x:c r="F76" s="30" t="n">
        <x:v>200</x:v>
      </x:c>
      <x:c r="G76" s="30" t="str">
        <x:v>g</x:v>
      </x:c>
      <x:c r="H76" s="30" t="str">
        <x:v>raw_edible_weight</x:v>
      </x:c>
      <x:c r="I76" s="30" t="n">
        <x:v>10</x:v>
      </x:c>
      <x:c r="J76" s="30" t="n">
        <x:v>300</x:v>
      </x:c>
      <x:c r="K76" s="30" t="str">
        <x:v>该scale超出Ingredient Master执行边界</x:v>
      </x:c>
      <x:c r="L76" s="76" t="b">
        <x:v>0</x:v>
      </x:c>
      <x:c r="M76" s="30" t="str">
        <x:v>禁止该scale；不得为保留统一0.5/0.75/1.25/1.5而突破基础食材边界。</x:v>
      </x:c>
      <x:c r="N76" s="30"/>
    </x:row>
    <x:row r="77">
      <x:c r="A77" s="30" t="str">
        <x:v>P001</x:v>
      </x:c>
      <x:c r="B77" s="30" t="str">
        <x:v>清蒸鲈鱼</x:v>
      </x:c>
      <x:c r="C77" s="30" t="str">
        <x:v>LINEAR_WITH_EXECUTION_ROUNDING</x:v>
      </x:c>
      <x:c r="D77" s="30" t="n">
        <x:v>0.5</x:v>
      </x:c>
      <x:c r="E77" s="30" t="str">
        <x:v>鲈鱼</x:v>
      </x:c>
      <x:c r="F77" s="30" t="n">
        <x:v>100</x:v>
      </x:c>
      <x:c r="G77" s="30" t="str">
        <x:v>g</x:v>
      </x:c>
      <x:c r="H77" s="30" t="str">
        <x:v>raw_edible_weight</x:v>
      </x:c>
      <x:c r="I77" s="30" t="n">
        <x:v>5</x:v>
      </x:c>
      <x:c r="J77" s="30" t="n">
        <x:v>50</x:v>
      </x:c>
      <x:c r="K77" s="30" t="str">
        <x:v>鲈鱼50g</x:v>
      </x:c>
      <x:c r="L77" s="76" t="b">
        <x:v>1</x:v>
      </x:c>
      <x:c r="M77" s="30" t="str">
        <x:v>已按MDT确认的Ingredient Master min/max/step执行化；执行量变化后必须重算营养。</x:v>
      </x:c>
      <x:c r="N77" s="30" t="n">
        <x:v>50</x:v>
      </x:c>
    </x:row>
    <x:row r="78">
      <x:c r="A78" s="30" t="str">
        <x:v>P001</x:v>
      </x:c>
      <x:c r="B78" s="30" t="str">
        <x:v>清蒸鲈鱼</x:v>
      </x:c>
      <x:c r="C78" s="30" t="str">
        <x:v>LINEAR_WITH_EXECUTION_ROUNDING</x:v>
      </x:c>
      <x:c r="D78" s="30" t="n">
        <x:v>0.5</x:v>
      </x:c>
      <x:c r="E78" s="30" t="str">
        <x:v>植物油</x:v>
      </x:c>
      <x:c r="F78" s="30" t="n">
        <x:v>3</x:v>
      </x:c>
      <x:c r="G78" s="30" t="str">
        <x:v>g</x:v>
      </x:c>
      <x:c r="H78" s="30" t="str">
        <x:v>added_weight</x:v>
      </x:c>
      <x:c r="I78" s="30" t="n">
        <x:v>1</x:v>
      </x:c>
      <x:c r="J78" s="30" t="n">
        <x:v>1.5</x:v>
      </x:c>
      <x:c r="K78" s="30" t="str">
        <x:v>植物油2g</x:v>
      </x:c>
      <x:c r="L78" s="76" t="b">
        <x:v>1</x:v>
      </x:c>
      <x:c r="M78" s="30" t="str">
        <x:v>已按MDT确认的Ingredient Master min/max/step执行化；执行量变化后必须重算营养。</x:v>
      </x:c>
      <x:c r="N78" s="30" t="n">
        <x:v>2</x:v>
      </x:c>
    </x:row>
    <x:row r="79">
      <x:c r="A79" s="30" t="str">
        <x:v>P001</x:v>
      </x:c>
      <x:c r="B79" s="30" t="str">
        <x:v>清蒸鲈鱼</x:v>
      </x:c>
      <x:c r="C79" s="30" t="str">
        <x:v>LINEAR_WITH_EXECUTION_ROUNDING</x:v>
      </x:c>
      <x:c r="D79" s="30" t="n">
        <x:v>0.75</x:v>
      </x:c>
      <x:c r="E79" s="30" t="str">
        <x:v>鲈鱼</x:v>
      </x:c>
      <x:c r="F79" s="30" t="n">
        <x:v>100</x:v>
      </x:c>
      <x:c r="G79" s="30" t="str">
        <x:v>g</x:v>
      </x:c>
      <x:c r="H79" s="30" t="str">
        <x:v>raw_edible_weight</x:v>
      </x:c>
      <x:c r="I79" s="30" t="n">
        <x:v>5</x:v>
      </x:c>
      <x:c r="J79" s="30" t="n">
        <x:v>75</x:v>
      </x:c>
      <x:c r="K79" s="30" t="str">
        <x:v>鲈鱼75g</x:v>
      </x:c>
      <x:c r="L79" s="76" t="b">
        <x:v>1</x:v>
      </x:c>
      <x:c r="M79" s="30" t="str">
        <x:v>已按MDT确认的Ingredient Master min/max/step执行化；执行量变化后必须重算营养。</x:v>
      </x:c>
      <x:c r="N79" s="30" t="n">
        <x:v>75</x:v>
      </x:c>
    </x:row>
    <x:row r="80">
      <x:c r="A80" s="30" t="str">
        <x:v>P001</x:v>
      </x:c>
      <x:c r="B80" s="30" t="str">
        <x:v>清蒸鲈鱼</x:v>
      </x:c>
      <x:c r="C80" s="30" t="str">
        <x:v>LINEAR_WITH_EXECUTION_ROUNDING</x:v>
      </x:c>
      <x:c r="D80" s="30" t="n">
        <x:v>0.75</x:v>
      </x:c>
      <x:c r="E80" s="30" t="str">
        <x:v>植物油</x:v>
      </x:c>
      <x:c r="F80" s="30" t="n">
        <x:v>3</x:v>
      </x:c>
      <x:c r="G80" s="30" t="str">
        <x:v>g</x:v>
      </x:c>
      <x:c r="H80" s="30" t="str">
        <x:v>added_weight</x:v>
      </x:c>
      <x:c r="I80" s="30" t="n">
        <x:v>1</x:v>
      </x:c>
      <x:c r="J80" s="30" t="n">
        <x:v>2.25</x:v>
      </x:c>
      <x:c r="K80" s="30" t="str">
        <x:v>植物油2g</x:v>
      </x:c>
      <x:c r="L80" s="76" t="b">
        <x:v>1</x:v>
      </x:c>
      <x:c r="M80" s="30" t="str">
        <x:v>已按MDT确认的Ingredient Master min/max/step执行化；执行量变化后必须重算营养。</x:v>
      </x:c>
      <x:c r="N80" s="30" t="n">
        <x:v>2</x:v>
      </x:c>
    </x:row>
    <x:row r="81">
      <x:c r="A81" s="30" t="str">
        <x:v>P001</x:v>
      </x:c>
      <x:c r="B81" s="30" t="str">
        <x:v>清蒸鲈鱼</x:v>
      </x:c>
      <x:c r="C81" s="30" t="str">
        <x:v>LINEAR_WITH_EXECUTION_ROUNDING</x:v>
      </x:c>
      <x:c r="D81" s="30" t="n">
        <x:v>1</x:v>
      </x:c>
      <x:c r="E81" s="30" t="str">
        <x:v>鲈鱼</x:v>
      </x:c>
      <x:c r="F81" s="30" t="n">
        <x:v>100</x:v>
      </x:c>
      <x:c r="G81" s="30" t="str">
        <x:v>g</x:v>
      </x:c>
      <x:c r="H81" s="30" t="str">
        <x:v>raw_edible_weight</x:v>
      </x:c>
      <x:c r="I81" s="30" t="n">
        <x:v>5</x:v>
      </x:c>
      <x:c r="J81" s="30" t="n">
        <x:v>100</x:v>
      </x:c>
      <x:c r="K81" s="30" t="str">
        <x:v>鲈鱼100g</x:v>
      </x:c>
      <x:c r="L81" s="76" t="b">
        <x:v>1</x:v>
      </x:c>
      <x:c r="M81" s="30" t="str">
        <x:v>已按MDT确认的Ingredient Master min/max/step执行化；执行量变化后必须重算营养。</x:v>
      </x:c>
      <x:c r="N81" s="30" t="n">
        <x:v>100</x:v>
      </x:c>
    </x:row>
    <x:row r="82">
      <x:c r="A82" s="30" t="str">
        <x:v>P001</x:v>
      </x:c>
      <x:c r="B82" s="30" t="str">
        <x:v>清蒸鲈鱼</x:v>
      </x:c>
      <x:c r="C82" s="30" t="str">
        <x:v>LINEAR_WITH_EXECUTION_ROUNDING</x:v>
      </x:c>
      <x:c r="D82" s="30" t="n">
        <x:v>1</x:v>
      </x:c>
      <x:c r="E82" s="30" t="str">
        <x:v>植物油</x:v>
      </x:c>
      <x:c r="F82" s="30" t="n">
        <x:v>3</x:v>
      </x:c>
      <x:c r="G82" s="30" t="str">
        <x:v>g</x:v>
      </x:c>
      <x:c r="H82" s="30" t="str">
        <x:v>added_weight</x:v>
      </x:c>
      <x:c r="I82" s="30" t="n">
        <x:v>1</x:v>
      </x:c>
      <x:c r="J82" s="30" t="n">
        <x:v>3</x:v>
      </x:c>
      <x:c r="K82" s="30" t="str">
        <x:v>植物油3g</x:v>
      </x:c>
      <x:c r="L82" s="76" t="b">
        <x:v>1</x:v>
      </x:c>
      <x:c r="M82" s="30" t="str">
        <x:v>已按MDT确认的Ingredient Master min/max/step执行化；执行量变化后必须重算营养。</x:v>
      </x:c>
      <x:c r="N82" s="30" t="n">
        <x:v>3</x:v>
      </x:c>
    </x:row>
    <x:row r="83">
      <x:c r="A83" s="30" t="str">
        <x:v>P001</x:v>
      </x:c>
      <x:c r="B83" s="30" t="str">
        <x:v>清蒸鲈鱼</x:v>
      </x:c>
      <x:c r="C83" s="30" t="str">
        <x:v>LINEAR_WITH_EXECUTION_ROUNDING</x:v>
      </x:c>
      <x:c r="D83" s="30" t="n">
        <x:v>1.25</x:v>
      </x:c>
      <x:c r="E83" s="30" t="str">
        <x:v>鲈鱼</x:v>
      </x:c>
      <x:c r="F83" s="30" t="n">
        <x:v>100</x:v>
      </x:c>
      <x:c r="G83" s="30" t="str">
        <x:v>g</x:v>
      </x:c>
      <x:c r="H83" s="30" t="str">
        <x:v>raw_edible_weight</x:v>
      </x:c>
      <x:c r="I83" s="30" t="n">
        <x:v>5</x:v>
      </x:c>
      <x:c r="J83" s="30" t="n">
        <x:v>125</x:v>
      </x:c>
      <x:c r="K83" s="30" t="str">
        <x:v>鲈鱼125g</x:v>
      </x:c>
      <x:c r="L83" s="76" t="b">
        <x:v>1</x:v>
      </x:c>
      <x:c r="M83" s="30" t="str">
        <x:v>已按MDT确认的Ingredient Master min/max/step执行化；执行量变化后必须重算营养。</x:v>
      </x:c>
      <x:c r="N83" s="30" t="n">
        <x:v>125</x:v>
      </x:c>
    </x:row>
    <x:row r="84">
      <x:c r="A84" s="30" t="str">
        <x:v>P001</x:v>
      </x:c>
      <x:c r="B84" s="30" t="str">
        <x:v>清蒸鲈鱼</x:v>
      </x:c>
      <x:c r="C84" s="30" t="str">
        <x:v>LINEAR_WITH_EXECUTION_ROUNDING</x:v>
      </x:c>
      <x:c r="D84" s="30" t="n">
        <x:v>1.25</x:v>
      </x:c>
      <x:c r="E84" s="30" t="str">
        <x:v>植物油</x:v>
      </x:c>
      <x:c r="F84" s="30" t="n">
        <x:v>3</x:v>
      </x:c>
      <x:c r="G84" s="30" t="str">
        <x:v>g</x:v>
      </x:c>
      <x:c r="H84" s="30" t="str">
        <x:v>added_weight</x:v>
      </x:c>
      <x:c r="I84" s="30" t="n">
        <x:v>1</x:v>
      </x:c>
      <x:c r="J84" s="30" t="n">
        <x:v>3.75</x:v>
      </x:c>
      <x:c r="K84" s="30" t="str">
        <x:v>植物油4g</x:v>
      </x:c>
      <x:c r="L84" s="76" t="b">
        <x:v>1</x:v>
      </x:c>
      <x:c r="M84" s="30" t="str">
        <x:v>已按MDT确认的Ingredient Master min/max/step执行化；执行量变化后必须重算营养。</x:v>
      </x:c>
      <x:c r="N84" s="30" t="n">
        <x:v>4</x:v>
      </x:c>
    </x:row>
    <x:row r="85">
      <x:c r="A85" s="30" t="str">
        <x:v>P001</x:v>
      </x:c>
      <x:c r="B85" s="30" t="str">
        <x:v>清蒸鲈鱼</x:v>
      </x:c>
      <x:c r="C85" s="30" t="str">
        <x:v>LINEAR_WITH_EXECUTION_ROUNDING</x:v>
      </x:c>
      <x:c r="D85" s="30" t="n">
        <x:v>1.5</x:v>
      </x:c>
      <x:c r="E85" s="30" t="str">
        <x:v>鲈鱼</x:v>
      </x:c>
      <x:c r="F85" s="30" t="n">
        <x:v>100</x:v>
      </x:c>
      <x:c r="G85" s="30" t="str">
        <x:v>g</x:v>
      </x:c>
      <x:c r="H85" s="30" t="str">
        <x:v>raw_edible_weight</x:v>
      </x:c>
      <x:c r="I85" s="30" t="n">
        <x:v>5</x:v>
      </x:c>
      <x:c r="J85" s="30" t="n">
        <x:v>150</x:v>
      </x:c>
      <x:c r="K85" s="30" t="str">
        <x:v>鲈鱼150g</x:v>
      </x:c>
      <x:c r="L85" s="76" t="b">
        <x:v>1</x:v>
      </x:c>
      <x:c r="M85" s="30" t="str">
        <x:v>已按MDT确认的Ingredient Master min/max/step执行化；执行量变化后必须重算营养。</x:v>
      </x:c>
      <x:c r="N85" s="30" t="n">
        <x:v>150</x:v>
      </x:c>
    </x:row>
    <x:row r="86">
      <x:c r="A86" s="30" t="str">
        <x:v>P001</x:v>
      </x:c>
      <x:c r="B86" s="30" t="str">
        <x:v>清蒸鲈鱼</x:v>
      </x:c>
      <x:c r="C86" s="30" t="str">
        <x:v>LINEAR_WITH_EXECUTION_ROUNDING</x:v>
      </x:c>
      <x:c r="D86" s="30" t="n">
        <x:v>1.5</x:v>
      </x:c>
      <x:c r="E86" s="30" t="str">
        <x:v>植物油</x:v>
      </x:c>
      <x:c r="F86" s="30" t="n">
        <x:v>3</x:v>
      </x:c>
      <x:c r="G86" s="30" t="str">
        <x:v>g</x:v>
      </x:c>
      <x:c r="H86" s="30" t="str">
        <x:v>added_weight</x:v>
      </x:c>
      <x:c r="I86" s="30" t="n">
        <x:v>1</x:v>
      </x:c>
      <x:c r="J86" s="30" t="n">
        <x:v>4.5</x:v>
      </x:c>
      <x:c r="K86" s="30" t="str">
        <x:v>植物油5g</x:v>
      </x:c>
      <x:c r="L86" s="76" t="b">
        <x:v>1</x:v>
      </x:c>
      <x:c r="M86" s="30" t="str">
        <x:v>已按MDT确认的Ingredient Master min/max/step执行化；执行量变化后必须重算营养。</x:v>
      </x:c>
      <x:c r="N86" s="30" t="n">
        <x:v>5</x:v>
      </x:c>
    </x:row>
    <x:row r="87">
      <x:c r="A87" s="30" t="str">
        <x:v>P002</x:v>
      </x:c>
      <x:c r="B87" s="30" t="str">
        <x:v>清蒸鳕鱼</x:v>
      </x:c>
      <x:c r="C87" s="30" t="str">
        <x:v>LINEAR_WITH_EXECUTION_ROUNDING</x:v>
      </x:c>
      <x:c r="D87" s="30" t="n">
        <x:v>0.5</x:v>
      </x:c>
      <x:c r="E87" s="30" t="str">
        <x:v>鳕鱼</x:v>
      </x:c>
      <x:c r="F87" s="30" t="n">
        <x:v>100</x:v>
      </x:c>
      <x:c r="G87" s="30" t="str">
        <x:v>g</x:v>
      </x:c>
      <x:c r="H87" s="30" t="str">
        <x:v>raw_edible_weight</x:v>
      </x:c>
      <x:c r="I87" s="30" t="n">
        <x:v>5</x:v>
      </x:c>
      <x:c r="J87" s="30" t="n">
        <x:v>50</x:v>
      </x:c>
      <x:c r="K87" s="30" t="str">
        <x:v>鳕鱼50g</x:v>
      </x:c>
      <x:c r="L87" s="76" t="b">
        <x:v>1</x:v>
      </x:c>
      <x:c r="M87" s="30" t="str">
        <x:v>已按MDT确认的Ingredient Master min/max/step执行化；执行量变化后必须重算营养。</x:v>
      </x:c>
      <x:c r="N87" s="30" t="n">
        <x:v>50</x:v>
      </x:c>
    </x:row>
    <x:row r="88">
      <x:c r="A88" s="30" t="str">
        <x:v>P002</x:v>
      </x:c>
      <x:c r="B88" s="30" t="str">
        <x:v>清蒸鳕鱼</x:v>
      </x:c>
      <x:c r="C88" s="30" t="str">
        <x:v>LINEAR_WITH_EXECUTION_ROUNDING</x:v>
      </x:c>
      <x:c r="D88" s="30" t="n">
        <x:v>0.5</x:v>
      </x:c>
      <x:c r="E88" s="30" t="str">
        <x:v>植物油</x:v>
      </x:c>
      <x:c r="F88" s="30" t="n">
        <x:v>3</x:v>
      </x:c>
      <x:c r="G88" s="30" t="str">
        <x:v>g</x:v>
      </x:c>
      <x:c r="H88" s="30" t="str">
        <x:v>added_weight</x:v>
      </x:c>
      <x:c r="I88" s="30" t="n">
        <x:v>1</x:v>
      </x:c>
      <x:c r="J88" s="30" t="n">
        <x:v>1.5</x:v>
      </x:c>
      <x:c r="K88" s="30" t="str">
        <x:v>植物油2g</x:v>
      </x:c>
      <x:c r="L88" s="76" t="b">
        <x:v>1</x:v>
      </x:c>
      <x:c r="M88" s="30" t="str">
        <x:v>已按MDT确认的Ingredient Master min/max/step执行化；执行量变化后必须重算营养。</x:v>
      </x:c>
      <x:c r="N88" s="30" t="n">
        <x:v>2</x:v>
      </x:c>
    </x:row>
    <x:row r="89">
      <x:c r="A89" s="30" t="str">
        <x:v>P002</x:v>
      </x:c>
      <x:c r="B89" s="30" t="str">
        <x:v>清蒸鳕鱼</x:v>
      </x:c>
      <x:c r="C89" s="30" t="str">
        <x:v>LINEAR_WITH_EXECUTION_ROUNDING</x:v>
      </x:c>
      <x:c r="D89" s="30" t="n">
        <x:v>0.75</x:v>
      </x:c>
      <x:c r="E89" s="30" t="str">
        <x:v>鳕鱼</x:v>
      </x:c>
      <x:c r="F89" s="30" t="n">
        <x:v>100</x:v>
      </x:c>
      <x:c r="G89" s="30" t="str">
        <x:v>g</x:v>
      </x:c>
      <x:c r="H89" s="30" t="str">
        <x:v>raw_edible_weight</x:v>
      </x:c>
      <x:c r="I89" s="30" t="n">
        <x:v>5</x:v>
      </x:c>
      <x:c r="J89" s="30" t="n">
        <x:v>75</x:v>
      </x:c>
      <x:c r="K89" s="30" t="str">
        <x:v>鳕鱼75g</x:v>
      </x:c>
      <x:c r="L89" s="76" t="b">
        <x:v>1</x:v>
      </x:c>
      <x:c r="M89" s="30" t="str">
        <x:v>已按MDT确认的Ingredient Master min/max/step执行化；执行量变化后必须重算营养。</x:v>
      </x:c>
      <x:c r="N89" s="30" t="n">
        <x:v>75</x:v>
      </x:c>
    </x:row>
    <x:row r="90">
      <x:c r="A90" s="30" t="str">
        <x:v>P002</x:v>
      </x:c>
      <x:c r="B90" s="30" t="str">
        <x:v>清蒸鳕鱼</x:v>
      </x:c>
      <x:c r="C90" s="30" t="str">
        <x:v>LINEAR_WITH_EXECUTION_ROUNDING</x:v>
      </x:c>
      <x:c r="D90" s="30" t="n">
        <x:v>0.75</x:v>
      </x:c>
      <x:c r="E90" s="30" t="str">
        <x:v>植物油</x:v>
      </x:c>
      <x:c r="F90" s="30" t="n">
        <x:v>3</x:v>
      </x:c>
      <x:c r="G90" s="30" t="str">
        <x:v>g</x:v>
      </x:c>
      <x:c r="H90" s="30" t="str">
        <x:v>added_weight</x:v>
      </x:c>
      <x:c r="I90" s="30" t="n">
        <x:v>1</x:v>
      </x:c>
      <x:c r="J90" s="30" t="n">
        <x:v>2.25</x:v>
      </x:c>
      <x:c r="K90" s="30" t="str">
        <x:v>植物油2g</x:v>
      </x:c>
      <x:c r="L90" s="76" t="b">
        <x:v>1</x:v>
      </x:c>
      <x:c r="M90" s="30" t="str">
        <x:v>已按MDT确认的Ingredient Master min/max/step执行化；执行量变化后必须重算营养。</x:v>
      </x:c>
      <x:c r="N90" s="30" t="n">
        <x:v>2</x:v>
      </x:c>
    </x:row>
    <x:row r="91">
      <x:c r="A91" s="30" t="str">
        <x:v>P002</x:v>
      </x:c>
      <x:c r="B91" s="30" t="str">
        <x:v>清蒸鳕鱼</x:v>
      </x:c>
      <x:c r="C91" s="30" t="str">
        <x:v>LINEAR_WITH_EXECUTION_ROUNDING</x:v>
      </x:c>
      <x:c r="D91" s="30" t="n">
        <x:v>1</x:v>
      </x:c>
      <x:c r="E91" s="30" t="str">
        <x:v>鳕鱼</x:v>
      </x:c>
      <x:c r="F91" s="30" t="n">
        <x:v>100</x:v>
      </x:c>
      <x:c r="G91" s="30" t="str">
        <x:v>g</x:v>
      </x:c>
      <x:c r="H91" s="30" t="str">
        <x:v>raw_edible_weight</x:v>
      </x:c>
      <x:c r="I91" s="30" t="n">
        <x:v>5</x:v>
      </x:c>
      <x:c r="J91" s="30" t="n">
        <x:v>100</x:v>
      </x:c>
      <x:c r="K91" s="30" t="str">
        <x:v>鳕鱼100g</x:v>
      </x:c>
      <x:c r="L91" s="76" t="b">
        <x:v>1</x:v>
      </x:c>
      <x:c r="M91" s="30" t="str">
        <x:v>已按MDT确认的Ingredient Master min/max/step执行化；执行量变化后必须重算营养。</x:v>
      </x:c>
      <x:c r="N91" s="30" t="n">
        <x:v>100</x:v>
      </x:c>
    </x:row>
    <x:row r="92">
      <x:c r="A92" s="30" t="str">
        <x:v>P002</x:v>
      </x:c>
      <x:c r="B92" s="30" t="str">
        <x:v>清蒸鳕鱼</x:v>
      </x:c>
      <x:c r="C92" s="30" t="str">
        <x:v>LINEAR_WITH_EXECUTION_ROUNDING</x:v>
      </x:c>
      <x:c r="D92" s="30" t="n">
        <x:v>1</x:v>
      </x:c>
      <x:c r="E92" s="30" t="str">
        <x:v>植物油</x:v>
      </x:c>
      <x:c r="F92" s="30" t="n">
        <x:v>3</x:v>
      </x:c>
      <x:c r="G92" s="30" t="str">
        <x:v>g</x:v>
      </x:c>
      <x:c r="H92" s="30" t="str">
        <x:v>added_weight</x:v>
      </x:c>
      <x:c r="I92" s="30" t="n">
        <x:v>1</x:v>
      </x:c>
      <x:c r="J92" s="30" t="n">
        <x:v>3</x:v>
      </x:c>
      <x:c r="K92" s="30" t="str">
        <x:v>植物油3g</x:v>
      </x:c>
      <x:c r="L92" s="76" t="b">
        <x:v>1</x:v>
      </x:c>
      <x:c r="M92" s="30" t="str">
        <x:v>已按MDT确认的Ingredient Master min/max/step执行化；执行量变化后必须重算营养。</x:v>
      </x:c>
      <x:c r="N92" s="30" t="n">
        <x:v>3</x:v>
      </x:c>
    </x:row>
    <x:row r="93">
      <x:c r="A93" s="30" t="str">
        <x:v>P002</x:v>
      </x:c>
      <x:c r="B93" s="30" t="str">
        <x:v>清蒸鳕鱼</x:v>
      </x:c>
      <x:c r="C93" s="30" t="str">
        <x:v>LINEAR_WITH_EXECUTION_ROUNDING</x:v>
      </x:c>
      <x:c r="D93" s="30" t="n">
        <x:v>1.25</x:v>
      </x:c>
      <x:c r="E93" s="30" t="str">
        <x:v>鳕鱼</x:v>
      </x:c>
      <x:c r="F93" s="30" t="n">
        <x:v>100</x:v>
      </x:c>
      <x:c r="G93" s="30" t="str">
        <x:v>g</x:v>
      </x:c>
      <x:c r="H93" s="30" t="str">
        <x:v>raw_edible_weight</x:v>
      </x:c>
      <x:c r="I93" s="30" t="n">
        <x:v>5</x:v>
      </x:c>
      <x:c r="J93" s="30" t="n">
        <x:v>125</x:v>
      </x:c>
      <x:c r="K93" s="30" t="str">
        <x:v>鳕鱼125g</x:v>
      </x:c>
      <x:c r="L93" s="76" t="b">
        <x:v>1</x:v>
      </x:c>
      <x:c r="M93" s="30" t="str">
        <x:v>已按MDT确认的Ingredient Master min/max/step执行化；执行量变化后必须重算营养。</x:v>
      </x:c>
      <x:c r="N93" s="30" t="n">
        <x:v>125</x:v>
      </x:c>
    </x:row>
    <x:row r="94">
      <x:c r="A94" s="30" t="str">
        <x:v>P002</x:v>
      </x:c>
      <x:c r="B94" s="30" t="str">
        <x:v>清蒸鳕鱼</x:v>
      </x:c>
      <x:c r="C94" s="30" t="str">
        <x:v>LINEAR_WITH_EXECUTION_ROUNDING</x:v>
      </x:c>
      <x:c r="D94" s="30" t="n">
        <x:v>1.25</x:v>
      </x:c>
      <x:c r="E94" s="30" t="str">
        <x:v>植物油</x:v>
      </x:c>
      <x:c r="F94" s="30" t="n">
        <x:v>3</x:v>
      </x:c>
      <x:c r="G94" s="30" t="str">
        <x:v>g</x:v>
      </x:c>
      <x:c r="H94" s="30" t="str">
        <x:v>added_weight</x:v>
      </x:c>
      <x:c r="I94" s="30" t="n">
        <x:v>1</x:v>
      </x:c>
      <x:c r="J94" s="30" t="n">
        <x:v>3.75</x:v>
      </x:c>
      <x:c r="K94" s="30" t="str">
        <x:v>植物油4g</x:v>
      </x:c>
      <x:c r="L94" s="76" t="b">
        <x:v>1</x:v>
      </x:c>
      <x:c r="M94" s="30" t="str">
        <x:v>已按MDT确认的Ingredient Master min/max/step执行化；执行量变化后必须重算营养。</x:v>
      </x:c>
      <x:c r="N94" s="30" t="n">
        <x:v>4</x:v>
      </x:c>
    </x:row>
    <x:row r="95">
      <x:c r="A95" s="30" t="str">
        <x:v>P002</x:v>
      </x:c>
      <x:c r="B95" s="30" t="str">
        <x:v>清蒸鳕鱼</x:v>
      </x:c>
      <x:c r="C95" s="30" t="str">
        <x:v>LINEAR_WITH_EXECUTION_ROUNDING</x:v>
      </x:c>
      <x:c r="D95" s="30" t="n">
        <x:v>1.5</x:v>
      </x:c>
      <x:c r="E95" s="30" t="str">
        <x:v>鳕鱼</x:v>
      </x:c>
      <x:c r="F95" s="30" t="n">
        <x:v>100</x:v>
      </x:c>
      <x:c r="G95" s="30" t="str">
        <x:v>g</x:v>
      </x:c>
      <x:c r="H95" s="30" t="str">
        <x:v>raw_edible_weight</x:v>
      </x:c>
      <x:c r="I95" s="30" t="n">
        <x:v>5</x:v>
      </x:c>
      <x:c r="J95" s="30" t="n">
        <x:v>150</x:v>
      </x:c>
      <x:c r="K95" s="30" t="str">
        <x:v>鳕鱼150g</x:v>
      </x:c>
      <x:c r="L95" s="76" t="b">
        <x:v>1</x:v>
      </x:c>
      <x:c r="M95" s="30" t="str">
        <x:v>已按MDT确认的Ingredient Master min/max/step执行化；执行量变化后必须重算营养。</x:v>
      </x:c>
      <x:c r="N95" s="30" t="n">
        <x:v>150</x:v>
      </x:c>
    </x:row>
    <x:row r="96">
      <x:c r="A96" s="30" t="str">
        <x:v>P002</x:v>
      </x:c>
      <x:c r="B96" s="30" t="str">
        <x:v>清蒸鳕鱼</x:v>
      </x:c>
      <x:c r="C96" s="30" t="str">
        <x:v>LINEAR_WITH_EXECUTION_ROUNDING</x:v>
      </x:c>
      <x:c r="D96" s="30" t="n">
        <x:v>1.5</x:v>
      </x:c>
      <x:c r="E96" s="30" t="str">
        <x:v>植物油</x:v>
      </x:c>
      <x:c r="F96" s="30" t="n">
        <x:v>3</x:v>
      </x:c>
      <x:c r="G96" s="30" t="str">
        <x:v>g</x:v>
      </x:c>
      <x:c r="H96" s="30" t="str">
        <x:v>added_weight</x:v>
      </x:c>
      <x:c r="I96" s="30" t="n">
        <x:v>1</x:v>
      </x:c>
      <x:c r="J96" s="30" t="n">
        <x:v>4.5</x:v>
      </x:c>
      <x:c r="K96" s="30" t="str">
        <x:v>植物油5g</x:v>
      </x:c>
      <x:c r="L96" s="76" t="b">
        <x:v>1</x:v>
      </x:c>
      <x:c r="M96" s="30" t="str">
        <x:v>已按MDT确认的Ingredient Master min/max/step执行化；执行量变化后必须重算营养。</x:v>
      </x:c>
      <x:c r="N96" s="30" t="n">
        <x:v>5</x:v>
      </x:c>
    </x:row>
    <x:row r="97">
      <x:c r="A97" s="30" t="str">
        <x:v>P003</x:v>
      </x:c>
      <x:c r="B97" s="30" t="str">
        <x:v>香草/葱姜鸡胸</x:v>
      </x:c>
      <x:c r="C97" s="30" t="str">
        <x:v>LINEAR_WITH_EXECUTION_ROUNDING</x:v>
      </x:c>
      <x:c r="D97" s="30" t="n">
        <x:v>0.5</x:v>
      </x:c>
      <x:c r="E97" s="30" t="str">
        <x:v>鸡胸肉</x:v>
      </x:c>
      <x:c r="F97" s="30" t="n">
        <x:v>100</x:v>
      </x:c>
      <x:c r="G97" s="30" t="str">
        <x:v>g</x:v>
      </x:c>
      <x:c r="H97" s="30" t="str">
        <x:v>raw_edible_weight</x:v>
      </x:c>
      <x:c r="I97" s="30" t="n">
        <x:v>5</x:v>
      </x:c>
      <x:c r="J97" s="30" t="n">
        <x:v>50</x:v>
      </x:c>
      <x:c r="K97" s="30" t="str">
        <x:v>鸡胸肉50g</x:v>
      </x:c>
      <x:c r="L97" s="76" t="b">
        <x:v>1</x:v>
      </x:c>
      <x:c r="M97" s="30" t="str">
        <x:v>已按MDT确认的Ingredient Master min/max/step执行化；执行量变化后必须重算营养。</x:v>
      </x:c>
      <x:c r="N97" s="30" t="n">
        <x:v>50</x:v>
      </x:c>
    </x:row>
    <x:row r="98">
      <x:c r="A98" s="30" t="str">
        <x:v>P003</x:v>
      </x:c>
      <x:c r="B98" s="30" t="str">
        <x:v>香草/葱姜鸡胸</x:v>
      </x:c>
      <x:c r="C98" s="30" t="str">
        <x:v>LINEAR_WITH_EXECUTION_ROUNDING</x:v>
      </x:c>
      <x:c r="D98" s="30" t="n">
        <x:v>0.5</x:v>
      </x:c>
      <x:c r="E98" s="30" t="str">
        <x:v>植物油</x:v>
      </x:c>
      <x:c r="F98" s="30" t="n">
        <x:v>5</x:v>
      </x:c>
      <x:c r="G98" s="30" t="str">
        <x:v>g</x:v>
      </x:c>
      <x:c r="H98" s="30" t="str">
        <x:v>added_weight</x:v>
      </x:c>
      <x:c r="I98" s="30" t="n">
        <x:v>1</x:v>
      </x:c>
      <x:c r="J98" s="30" t="n">
        <x:v>2.5</x:v>
      </x:c>
      <x:c r="K98" s="30" t="str">
        <x:v>植物油3g</x:v>
      </x:c>
      <x:c r="L98" s="76" t="b">
        <x:v>1</x:v>
      </x:c>
      <x:c r="M98" s="30" t="str">
        <x:v>已按MDT确认的Ingredient Master min/max/step执行化；执行量变化后必须重算营养。</x:v>
      </x:c>
      <x:c r="N98" s="30" t="n">
        <x:v>3</x:v>
      </x:c>
    </x:row>
    <x:row r="99">
      <x:c r="A99" s="30" t="str">
        <x:v>P003</x:v>
      </x:c>
      <x:c r="B99" s="30" t="str">
        <x:v>香草/葱姜鸡胸</x:v>
      </x:c>
      <x:c r="C99" s="30" t="str">
        <x:v>LINEAR_WITH_EXECUTION_ROUNDING</x:v>
      </x:c>
      <x:c r="D99" s="30" t="n">
        <x:v>0.75</x:v>
      </x:c>
      <x:c r="E99" s="30" t="str">
        <x:v>鸡胸肉</x:v>
      </x:c>
      <x:c r="F99" s="30" t="n">
        <x:v>100</x:v>
      </x:c>
      <x:c r="G99" s="30" t="str">
        <x:v>g</x:v>
      </x:c>
      <x:c r="H99" s="30" t="str">
        <x:v>raw_edible_weight</x:v>
      </x:c>
      <x:c r="I99" s="30" t="n">
        <x:v>5</x:v>
      </x:c>
      <x:c r="J99" s="30" t="n">
        <x:v>75</x:v>
      </x:c>
      <x:c r="K99" s="30" t="str">
        <x:v>鸡胸肉75g</x:v>
      </x:c>
      <x:c r="L99" s="76" t="b">
        <x:v>1</x:v>
      </x:c>
      <x:c r="M99" s="30" t="str">
        <x:v>已按MDT确认的Ingredient Master min/max/step执行化；执行量变化后必须重算营养。</x:v>
      </x:c>
      <x:c r="N99" s="30" t="n">
        <x:v>75</x:v>
      </x:c>
    </x:row>
    <x:row r="100">
      <x:c r="A100" s="30" t="str">
        <x:v>P003</x:v>
      </x:c>
      <x:c r="B100" s="30" t="str">
        <x:v>香草/葱姜鸡胸</x:v>
      </x:c>
      <x:c r="C100" s="30" t="str">
        <x:v>LINEAR_WITH_EXECUTION_ROUNDING</x:v>
      </x:c>
      <x:c r="D100" s="30" t="n">
        <x:v>0.75</x:v>
      </x:c>
      <x:c r="E100" s="30" t="str">
        <x:v>植物油</x:v>
      </x:c>
      <x:c r="F100" s="30" t="n">
        <x:v>5</x:v>
      </x:c>
      <x:c r="G100" s="30" t="str">
        <x:v>g</x:v>
      </x:c>
      <x:c r="H100" s="30" t="str">
        <x:v>added_weight</x:v>
      </x:c>
      <x:c r="I100" s="30" t="n">
        <x:v>1</x:v>
      </x:c>
      <x:c r="J100" s="30" t="n">
        <x:v>3.75</x:v>
      </x:c>
      <x:c r="K100" s="30" t="str">
        <x:v>植物油4g</x:v>
      </x:c>
      <x:c r="L100" s="76" t="b">
        <x:v>1</x:v>
      </x:c>
      <x:c r="M100" s="30" t="str">
        <x:v>已按MDT确认的Ingredient Master min/max/step执行化；执行量变化后必须重算营养。</x:v>
      </x:c>
      <x:c r="N100" s="30" t="n">
        <x:v>4</x:v>
      </x:c>
    </x:row>
    <x:row r="101">
      <x:c r="A101" s="30" t="str">
        <x:v>P003</x:v>
      </x:c>
      <x:c r="B101" s="30" t="str">
        <x:v>香草/葱姜鸡胸</x:v>
      </x:c>
      <x:c r="C101" s="30" t="str">
        <x:v>LINEAR_WITH_EXECUTION_ROUNDING</x:v>
      </x:c>
      <x:c r="D101" s="30" t="n">
        <x:v>1</x:v>
      </x:c>
      <x:c r="E101" s="30" t="str">
        <x:v>鸡胸肉</x:v>
      </x:c>
      <x:c r="F101" s="30" t="n">
        <x:v>100</x:v>
      </x:c>
      <x:c r="G101" s="30" t="str">
        <x:v>g</x:v>
      </x:c>
      <x:c r="H101" s="30" t="str">
        <x:v>raw_edible_weight</x:v>
      </x:c>
      <x:c r="I101" s="30" t="n">
        <x:v>5</x:v>
      </x:c>
      <x:c r="J101" s="30" t="n">
        <x:v>100</x:v>
      </x:c>
      <x:c r="K101" s="30" t="str">
        <x:v>鸡胸肉100g</x:v>
      </x:c>
      <x:c r="L101" s="76" t="b">
        <x:v>1</x:v>
      </x:c>
      <x:c r="M101" s="30" t="str">
        <x:v>已按MDT确认的Ingredient Master min/max/step执行化；执行量变化后必须重算营养。</x:v>
      </x:c>
      <x:c r="N101" s="30" t="n">
        <x:v>100</x:v>
      </x:c>
    </x:row>
    <x:row r="102">
      <x:c r="A102" s="30" t="str">
        <x:v>P003</x:v>
      </x:c>
      <x:c r="B102" s="30" t="str">
        <x:v>香草/葱姜鸡胸</x:v>
      </x:c>
      <x:c r="C102" s="30" t="str">
        <x:v>LINEAR_WITH_EXECUTION_ROUNDING</x:v>
      </x:c>
      <x:c r="D102" s="30" t="n">
        <x:v>1</x:v>
      </x:c>
      <x:c r="E102" s="30" t="str">
        <x:v>植物油</x:v>
      </x:c>
      <x:c r="F102" s="30" t="n">
        <x:v>5</x:v>
      </x:c>
      <x:c r="G102" s="30" t="str">
        <x:v>g</x:v>
      </x:c>
      <x:c r="H102" s="30" t="str">
        <x:v>added_weight</x:v>
      </x:c>
      <x:c r="I102" s="30" t="n">
        <x:v>1</x:v>
      </x:c>
      <x:c r="J102" s="30" t="n">
        <x:v>5</x:v>
      </x:c>
      <x:c r="K102" s="30" t="str">
        <x:v>植物油5g</x:v>
      </x:c>
      <x:c r="L102" s="76" t="b">
        <x:v>1</x:v>
      </x:c>
      <x:c r="M102" s="30" t="str">
        <x:v>已按MDT确认的Ingredient Master min/max/step执行化；执行量变化后必须重算营养。</x:v>
      </x:c>
      <x:c r="N102" s="30" t="n">
        <x:v>5</x:v>
      </x:c>
    </x:row>
    <x:row r="103">
      <x:c r="A103" s="30" t="str">
        <x:v>P003</x:v>
      </x:c>
      <x:c r="B103" s="30" t="str">
        <x:v>香草/葱姜鸡胸</x:v>
      </x:c>
      <x:c r="C103" s="30" t="str">
        <x:v>LINEAR_WITH_EXECUTION_ROUNDING</x:v>
      </x:c>
      <x:c r="D103" s="30" t="n">
        <x:v>1.25</x:v>
      </x:c>
      <x:c r="E103" s="30" t="str">
        <x:v>鸡胸肉</x:v>
      </x:c>
      <x:c r="F103" s="30" t="n">
        <x:v>100</x:v>
      </x:c>
      <x:c r="G103" s="30" t="str">
        <x:v>g</x:v>
      </x:c>
      <x:c r="H103" s="30" t="str">
        <x:v>raw_edible_weight</x:v>
      </x:c>
      <x:c r="I103" s="30" t="n">
        <x:v>5</x:v>
      </x:c>
      <x:c r="J103" s="30" t="n">
        <x:v>125</x:v>
      </x:c>
      <x:c r="K103" s="30" t="str">
        <x:v>鸡胸肉125g</x:v>
      </x:c>
      <x:c r="L103" s="76" t="b">
        <x:v>1</x:v>
      </x:c>
      <x:c r="M103" s="30" t="str">
        <x:v>已按MDT确认的Ingredient Master min/max/step执行化；执行量变化后必须重算营养。</x:v>
      </x:c>
      <x:c r="N103" s="30" t="n">
        <x:v>125</x:v>
      </x:c>
    </x:row>
    <x:row r="104">
      <x:c r="A104" s="30" t="str">
        <x:v>P003</x:v>
      </x:c>
      <x:c r="B104" s="30" t="str">
        <x:v>香草/葱姜鸡胸</x:v>
      </x:c>
      <x:c r="C104" s="30" t="str">
        <x:v>LINEAR_WITH_EXECUTION_ROUNDING</x:v>
      </x:c>
      <x:c r="D104" s="30" t="n">
        <x:v>1.25</x:v>
      </x:c>
      <x:c r="E104" s="30" t="str">
        <x:v>植物油</x:v>
      </x:c>
      <x:c r="F104" s="30" t="n">
        <x:v>5</x:v>
      </x:c>
      <x:c r="G104" s="30" t="str">
        <x:v>g</x:v>
      </x:c>
      <x:c r="H104" s="30" t="str">
        <x:v>added_weight</x:v>
      </x:c>
      <x:c r="I104" s="30" t="n">
        <x:v>1</x:v>
      </x:c>
      <x:c r="J104" s="30" t="n">
        <x:v>6.25</x:v>
      </x:c>
      <x:c r="K104" s="30" t="str">
        <x:v>植物油6g</x:v>
      </x:c>
      <x:c r="L104" s="76" t="b">
        <x:v>1</x:v>
      </x:c>
      <x:c r="M104" s="30" t="str">
        <x:v>已按MDT确认的Ingredient Master min/max/step执行化；执行量变化后必须重算营养。</x:v>
      </x:c>
      <x:c r="N104" s="30" t="n">
        <x:v>6</x:v>
      </x:c>
    </x:row>
    <x:row r="105">
      <x:c r="A105" s="30" t="str">
        <x:v>P003</x:v>
      </x:c>
      <x:c r="B105" s="30" t="str">
        <x:v>香草/葱姜鸡胸</x:v>
      </x:c>
      <x:c r="C105" s="30" t="str">
        <x:v>LINEAR_WITH_EXECUTION_ROUNDING</x:v>
      </x:c>
      <x:c r="D105" s="30" t="n">
        <x:v>1.5</x:v>
      </x:c>
      <x:c r="E105" s="30" t="str">
        <x:v>鸡胸肉</x:v>
      </x:c>
      <x:c r="F105" s="30" t="n">
        <x:v>100</x:v>
      </x:c>
      <x:c r="G105" s="30" t="str">
        <x:v>g</x:v>
      </x:c>
      <x:c r="H105" s="30" t="str">
        <x:v>raw_edible_weight</x:v>
      </x:c>
      <x:c r="I105" s="30" t="n">
        <x:v>5</x:v>
      </x:c>
      <x:c r="J105" s="30" t="n">
        <x:v>150</x:v>
      </x:c>
      <x:c r="K105" s="30" t="str">
        <x:v>鸡胸肉150g</x:v>
      </x:c>
      <x:c r="L105" s="76" t="b">
        <x:v>1</x:v>
      </x:c>
      <x:c r="M105" s="30" t="str">
        <x:v>已按MDT确认的Ingredient Master min/max/step执行化；执行量变化后必须重算营养。</x:v>
      </x:c>
      <x:c r="N105" s="30" t="n">
        <x:v>150</x:v>
      </x:c>
    </x:row>
    <x:row r="106">
      <x:c r="A106" s="30" t="str">
        <x:v>P003</x:v>
      </x:c>
      <x:c r="B106" s="30" t="str">
        <x:v>香草/葱姜鸡胸</x:v>
      </x:c>
      <x:c r="C106" s="30" t="str">
        <x:v>LINEAR_WITH_EXECUTION_ROUNDING</x:v>
      </x:c>
      <x:c r="D106" s="30" t="n">
        <x:v>1.5</x:v>
      </x:c>
      <x:c r="E106" s="30" t="str">
        <x:v>植物油</x:v>
      </x:c>
      <x:c r="F106" s="30" t="n">
        <x:v>5</x:v>
      </x:c>
      <x:c r="G106" s="30" t="str">
        <x:v>g</x:v>
      </x:c>
      <x:c r="H106" s="30" t="str">
        <x:v>added_weight</x:v>
      </x:c>
      <x:c r="I106" s="30" t="n">
        <x:v>1</x:v>
      </x:c>
      <x:c r="J106" s="30" t="n">
        <x:v>7.5</x:v>
      </x:c>
      <x:c r="K106" s="30" t="str">
        <x:v>植物油8g</x:v>
      </x:c>
      <x:c r="L106" s="76" t="b">
        <x:v>1</x:v>
      </x:c>
      <x:c r="M106" s="30" t="str">
        <x:v>已按MDT确认的Ingredient Master min/max/step执行化；执行量变化后必须重算营养。</x:v>
      </x:c>
      <x:c r="N106" s="30" t="n">
        <x:v>8</x:v>
      </x:c>
    </x:row>
    <x:row r="107">
      <x:c r="A107" s="30" t="str">
        <x:v>P004</x:v>
      </x:c>
      <x:c r="B107" s="30" t="str">
        <x:v>去皮鸡腿肉炖菇</x:v>
      </x:c>
      <x:c r="C107" s="30" t="str">
        <x:v>LINEAR_WITH_EXECUTION_ROUNDING</x:v>
      </x:c>
      <x:c r="D107" s="30" t="n">
        <x:v>0.5</x:v>
      </x:c>
      <x:c r="E107" s="30" t="str">
        <x:v>鸡腿肉去皮</x:v>
      </x:c>
      <x:c r="F107" s="30" t="n">
        <x:v>100</x:v>
      </x:c>
      <x:c r="G107" s="30" t="str">
        <x:v>g</x:v>
      </x:c>
      <x:c r="H107" s="30" t="str">
        <x:v>raw_edible_weight</x:v>
      </x:c>
      <x:c r="I107" s="30" t="n">
        <x:v>5</x:v>
      </x:c>
      <x:c r="J107" s="30" t="n">
        <x:v>50</x:v>
      </x:c>
      <x:c r="K107" s="30" t="str">
        <x:v>鸡腿肉去皮50g</x:v>
      </x:c>
      <x:c r="L107" s="76" t="b">
        <x:v>1</x:v>
      </x:c>
      <x:c r="M107" s="30" t="str">
        <x:v>已按MDT确认的Ingredient Master min/max/step执行化；执行量变化后必须重算营养。</x:v>
      </x:c>
      <x:c r="N107" s="30" t="n">
        <x:v>50</x:v>
      </x:c>
    </x:row>
    <x:row r="108">
      <x:c r="A108" s="30" t="str">
        <x:v>P004</x:v>
      </x:c>
      <x:c r="B108" s="30" t="str">
        <x:v>去皮鸡腿肉炖菇</x:v>
      </x:c>
      <x:c r="C108" s="30" t="str">
        <x:v>LINEAR_WITH_EXECUTION_ROUNDING</x:v>
      </x:c>
      <x:c r="D108" s="30" t="n">
        <x:v>0.5</x:v>
      </x:c>
      <x:c r="E108" s="30" t="str">
        <x:v>香菇鲜</x:v>
      </x:c>
      <x:c r="F108" s="30" t="n">
        <x:v>80</x:v>
      </x:c>
      <x:c r="G108" s="30" t="str">
        <x:v>g</x:v>
      </x:c>
      <x:c r="H108" s="30" t="str">
        <x:v>raw_edible_weight</x:v>
      </x:c>
      <x:c r="I108" s="30" t="n">
        <x:v>10</x:v>
      </x:c>
      <x:c r="J108" s="30" t="n">
        <x:v>40</x:v>
      </x:c>
      <x:c r="K108" s="30" t="str">
        <x:v>香菇鲜40g</x:v>
      </x:c>
      <x:c r="L108" s="76" t="b">
        <x:v>1</x:v>
      </x:c>
      <x:c r="M108" s="30" t="str">
        <x:v>已按MDT确认的Ingredient Master min/max/step执行化；执行量变化后必须重算营养。</x:v>
      </x:c>
      <x:c r="N108" s="30" t="n">
        <x:v>40</x:v>
      </x:c>
    </x:row>
    <x:row r="109">
      <x:c r="A109" s="30" t="str">
        <x:v>P004</x:v>
      </x:c>
      <x:c r="B109" s="30" t="str">
        <x:v>去皮鸡腿肉炖菇</x:v>
      </x:c>
      <x:c r="C109" s="30" t="str">
        <x:v>LINEAR_WITH_EXECUTION_ROUNDING</x:v>
      </x:c>
      <x:c r="D109" s="30" t="n">
        <x:v>0.5</x:v>
      </x:c>
      <x:c r="E109" s="30" t="str">
        <x:v>植物油</x:v>
      </x:c>
      <x:c r="F109" s="30" t="n">
        <x:v>4</x:v>
      </x:c>
      <x:c r="G109" s="30" t="str">
        <x:v>g</x:v>
      </x:c>
      <x:c r="H109" s="30" t="str">
        <x:v>added_weight</x:v>
      </x:c>
      <x:c r="I109" s="30" t="n">
        <x:v>1</x:v>
      </x:c>
      <x:c r="J109" s="30" t="n">
        <x:v>2</x:v>
      </x:c>
      <x:c r="K109" s="30" t="str">
        <x:v>植物油2g</x:v>
      </x:c>
      <x:c r="L109" s="76" t="b">
        <x:v>1</x:v>
      </x:c>
      <x:c r="M109" s="30" t="str">
        <x:v>已按MDT确认的Ingredient Master min/max/step执行化；执行量变化后必须重算营养。</x:v>
      </x:c>
      <x:c r="N109" s="30" t="n">
        <x:v>2</x:v>
      </x:c>
    </x:row>
    <x:row r="110">
      <x:c r="A110" s="30" t="str">
        <x:v>P004</x:v>
      </x:c>
      <x:c r="B110" s="30" t="str">
        <x:v>去皮鸡腿肉炖菇</x:v>
      </x:c>
      <x:c r="C110" s="30" t="str">
        <x:v>LINEAR_WITH_EXECUTION_ROUNDING</x:v>
      </x:c>
      <x:c r="D110" s="30" t="n">
        <x:v>0.75</x:v>
      </x:c>
      <x:c r="E110" s="30" t="str">
        <x:v>鸡腿肉去皮</x:v>
      </x:c>
      <x:c r="F110" s="30" t="n">
        <x:v>100</x:v>
      </x:c>
      <x:c r="G110" s="30" t="str">
        <x:v>g</x:v>
      </x:c>
      <x:c r="H110" s="30" t="str">
        <x:v>raw_edible_weight</x:v>
      </x:c>
      <x:c r="I110" s="30" t="n">
        <x:v>5</x:v>
      </x:c>
      <x:c r="J110" s="30" t="n">
        <x:v>75</x:v>
      </x:c>
      <x:c r="K110" s="30" t="str">
        <x:v>鸡腿肉去皮75g</x:v>
      </x:c>
      <x:c r="L110" s="76" t="b">
        <x:v>1</x:v>
      </x:c>
      <x:c r="M110" s="30" t="str">
        <x:v>已按MDT确认的Ingredient Master min/max/step执行化；执行量变化后必须重算营养。</x:v>
      </x:c>
      <x:c r="N110" s="30" t="n">
        <x:v>75</x:v>
      </x:c>
    </x:row>
    <x:row r="111">
      <x:c r="A111" s="30" t="str">
        <x:v>P004</x:v>
      </x:c>
      <x:c r="B111" s="30" t="str">
        <x:v>去皮鸡腿肉炖菇</x:v>
      </x:c>
      <x:c r="C111" s="30" t="str">
        <x:v>LINEAR_WITH_EXECUTION_ROUNDING</x:v>
      </x:c>
      <x:c r="D111" s="30" t="n">
        <x:v>0.75</x:v>
      </x:c>
      <x:c r="E111" s="30" t="str">
        <x:v>香菇鲜</x:v>
      </x:c>
      <x:c r="F111" s="30" t="n">
        <x:v>80</x:v>
      </x:c>
      <x:c r="G111" s="30" t="str">
        <x:v>g</x:v>
      </x:c>
      <x:c r="H111" s="30" t="str">
        <x:v>raw_edible_weight</x:v>
      </x:c>
      <x:c r="I111" s="30" t="n">
        <x:v>10</x:v>
      </x:c>
      <x:c r="J111" s="30" t="n">
        <x:v>60</x:v>
      </x:c>
      <x:c r="K111" s="30" t="str">
        <x:v>香菇鲜60g</x:v>
      </x:c>
      <x:c r="L111" s="76" t="b">
        <x:v>1</x:v>
      </x:c>
      <x:c r="M111" s="30" t="str">
        <x:v>已按MDT确认的Ingredient Master min/max/step执行化；执行量变化后必须重算营养。</x:v>
      </x:c>
      <x:c r="N111" s="30" t="n">
        <x:v>60</x:v>
      </x:c>
    </x:row>
    <x:row r="112">
      <x:c r="A112" s="30" t="str">
        <x:v>P004</x:v>
      </x:c>
      <x:c r="B112" s="30" t="str">
        <x:v>去皮鸡腿肉炖菇</x:v>
      </x:c>
      <x:c r="C112" s="30" t="str">
        <x:v>LINEAR_WITH_EXECUTION_ROUNDING</x:v>
      </x:c>
      <x:c r="D112" s="30" t="n">
        <x:v>0.75</x:v>
      </x:c>
      <x:c r="E112" s="30" t="str">
        <x:v>植物油</x:v>
      </x:c>
      <x:c r="F112" s="30" t="n">
        <x:v>4</x:v>
      </x:c>
      <x:c r="G112" s="30" t="str">
        <x:v>g</x:v>
      </x:c>
      <x:c r="H112" s="30" t="str">
        <x:v>added_weight</x:v>
      </x:c>
      <x:c r="I112" s="30" t="n">
        <x:v>1</x:v>
      </x:c>
      <x:c r="J112" s="30" t="n">
        <x:v>3</x:v>
      </x:c>
      <x:c r="K112" s="30" t="str">
        <x:v>植物油3g</x:v>
      </x:c>
      <x:c r="L112" s="76" t="b">
        <x:v>1</x:v>
      </x:c>
      <x:c r="M112" s="30" t="str">
        <x:v>已按MDT确认的Ingredient Master min/max/step执行化；执行量变化后必须重算营养。</x:v>
      </x:c>
      <x:c r="N112" s="30" t="n">
        <x:v>3</x:v>
      </x:c>
    </x:row>
    <x:row r="113">
      <x:c r="A113" s="30" t="str">
        <x:v>P004</x:v>
      </x:c>
      <x:c r="B113" s="30" t="str">
        <x:v>去皮鸡腿肉炖菇</x:v>
      </x:c>
      <x:c r="C113" s="30" t="str">
        <x:v>LINEAR_WITH_EXECUTION_ROUNDING</x:v>
      </x:c>
      <x:c r="D113" s="30" t="n">
        <x:v>1</x:v>
      </x:c>
      <x:c r="E113" s="30" t="str">
        <x:v>鸡腿肉去皮</x:v>
      </x:c>
      <x:c r="F113" s="30" t="n">
        <x:v>100</x:v>
      </x:c>
      <x:c r="G113" s="30" t="str">
        <x:v>g</x:v>
      </x:c>
      <x:c r="H113" s="30" t="str">
        <x:v>raw_edible_weight</x:v>
      </x:c>
      <x:c r="I113" s="30" t="n">
        <x:v>5</x:v>
      </x:c>
      <x:c r="J113" s="30" t="n">
        <x:v>100</x:v>
      </x:c>
      <x:c r="K113" s="30" t="str">
        <x:v>鸡腿肉去皮100g</x:v>
      </x:c>
      <x:c r="L113" s="76" t="b">
        <x:v>1</x:v>
      </x:c>
      <x:c r="M113" s="30" t="str">
        <x:v>已按MDT确认的Ingredient Master min/max/step执行化；执行量变化后必须重算营养。</x:v>
      </x:c>
      <x:c r="N113" s="30" t="n">
        <x:v>100</x:v>
      </x:c>
    </x:row>
    <x:row r="114">
      <x:c r="A114" s="30" t="str">
        <x:v>P004</x:v>
      </x:c>
      <x:c r="B114" s="30" t="str">
        <x:v>去皮鸡腿肉炖菇</x:v>
      </x:c>
      <x:c r="C114" s="30" t="str">
        <x:v>LINEAR_WITH_EXECUTION_ROUNDING</x:v>
      </x:c>
      <x:c r="D114" s="30" t="n">
        <x:v>1</x:v>
      </x:c>
      <x:c r="E114" s="30" t="str">
        <x:v>香菇鲜</x:v>
      </x:c>
      <x:c r="F114" s="30" t="n">
        <x:v>80</x:v>
      </x:c>
      <x:c r="G114" s="30" t="str">
        <x:v>g</x:v>
      </x:c>
      <x:c r="H114" s="30" t="str">
        <x:v>raw_edible_weight</x:v>
      </x:c>
      <x:c r="I114" s="30" t="n">
        <x:v>10</x:v>
      </x:c>
      <x:c r="J114" s="30" t="n">
        <x:v>80</x:v>
      </x:c>
      <x:c r="K114" s="30" t="str">
        <x:v>香菇鲜80g</x:v>
      </x:c>
      <x:c r="L114" s="76" t="b">
        <x:v>1</x:v>
      </x:c>
      <x:c r="M114" s="30" t="str">
        <x:v>已按MDT确认的Ingredient Master min/max/step执行化；执行量变化后必须重算营养。</x:v>
      </x:c>
      <x:c r="N114" s="30" t="n">
        <x:v>80</x:v>
      </x:c>
    </x:row>
    <x:row r="115">
      <x:c r="A115" s="30" t="str">
        <x:v>P004</x:v>
      </x:c>
      <x:c r="B115" s="30" t="str">
        <x:v>去皮鸡腿肉炖菇</x:v>
      </x:c>
      <x:c r="C115" s="30" t="str">
        <x:v>LINEAR_WITH_EXECUTION_ROUNDING</x:v>
      </x:c>
      <x:c r="D115" s="30" t="n">
        <x:v>1</x:v>
      </x:c>
      <x:c r="E115" s="30" t="str">
        <x:v>植物油</x:v>
      </x:c>
      <x:c r="F115" s="30" t="n">
        <x:v>4</x:v>
      </x:c>
      <x:c r="G115" s="30" t="str">
        <x:v>g</x:v>
      </x:c>
      <x:c r="H115" s="30" t="str">
        <x:v>added_weight</x:v>
      </x:c>
      <x:c r="I115" s="30" t="n">
        <x:v>1</x:v>
      </x:c>
      <x:c r="J115" s="30" t="n">
        <x:v>4</x:v>
      </x:c>
      <x:c r="K115" s="30" t="str">
        <x:v>植物油4g</x:v>
      </x:c>
      <x:c r="L115" s="76" t="b">
        <x:v>1</x:v>
      </x:c>
      <x:c r="M115" s="30" t="str">
        <x:v>已按MDT确认的Ingredient Master min/max/step执行化；执行量变化后必须重算营养。</x:v>
      </x:c>
      <x:c r="N115" s="30" t="n">
        <x:v>4</x:v>
      </x:c>
    </x:row>
    <x:row r="116">
      <x:c r="A116" s="30" t="str">
        <x:v>P004</x:v>
      </x:c>
      <x:c r="B116" s="30" t="str">
        <x:v>去皮鸡腿肉炖菇</x:v>
      </x:c>
      <x:c r="C116" s="30" t="str">
        <x:v>LINEAR_WITH_EXECUTION_ROUNDING</x:v>
      </x:c>
      <x:c r="D116" s="30" t="n">
        <x:v>1.25</x:v>
      </x:c>
      <x:c r="E116" s="30" t="str">
        <x:v>鸡腿肉去皮</x:v>
      </x:c>
      <x:c r="F116" s="30" t="n">
        <x:v>100</x:v>
      </x:c>
      <x:c r="G116" s="30" t="str">
        <x:v>g</x:v>
      </x:c>
      <x:c r="H116" s="30" t="str">
        <x:v>raw_edible_weight</x:v>
      </x:c>
      <x:c r="I116" s="30" t="n">
        <x:v>5</x:v>
      </x:c>
      <x:c r="J116" s="30" t="n">
        <x:v>125</x:v>
      </x:c>
      <x:c r="K116" s="30" t="str">
        <x:v>鸡腿肉去皮125g</x:v>
      </x:c>
      <x:c r="L116" s="76" t="b">
        <x:v>1</x:v>
      </x:c>
      <x:c r="M116" s="30" t="str">
        <x:v>已按MDT确认的Ingredient Master min/max/step执行化；执行量变化后必须重算营养。</x:v>
      </x:c>
      <x:c r="N116" s="30" t="n">
        <x:v>125</x:v>
      </x:c>
    </x:row>
    <x:row r="117">
      <x:c r="A117" s="30" t="str">
        <x:v>P004</x:v>
      </x:c>
      <x:c r="B117" s="30" t="str">
        <x:v>去皮鸡腿肉炖菇</x:v>
      </x:c>
      <x:c r="C117" s="30" t="str">
        <x:v>LINEAR_WITH_EXECUTION_ROUNDING</x:v>
      </x:c>
      <x:c r="D117" s="30" t="n">
        <x:v>1.25</x:v>
      </x:c>
      <x:c r="E117" s="30" t="str">
        <x:v>香菇鲜</x:v>
      </x:c>
      <x:c r="F117" s="30" t="n">
        <x:v>80</x:v>
      </x:c>
      <x:c r="G117" s="30" t="str">
        <x:v>g</x:v>
      </x:c>
      <x:c r="H117" s="30" t="str">
        <x:v>raw_edible_weight</x:v>
      </x:c>
      <x:c r="I117" s="30" t="n">
        <x:v>10</x:v>
      </x:c>
      <x:c r="J117" s="30" t="n">
        <x:v>100</x:v>
      </x:c>
      <x:c r="K117" s="30" t="str">
        <x:v>香菇鲜100g</x:v>
      </x:c>
      <x:c r="L117" s="76" t="b">
        <x:v>1</x:v>
      </x:c>
      <x:c r="M117" s="30" t="str">
        <x:v>已按MDT确认的Ingredient Master min/max/step执行化；执行量变化后必须重算营养。</x:v>
      </x:c>
      <x:c r="N117" s="30" t="n">
        <x:v>100</x:v>
      </x:c>
    </x:row>
    <x:row r="118">
      <x:c r="A118" s="30" t="str">
        <x:v>P004</x:v>
      </x:c>
      <x:c r="B118" s="30" t="str">
        <x:v>去皮鸡腿肉炖菇</x:v>
      </x:c>
      <x:c r="C118" s="30" t="str">
        <x:v>LINEAR_WITH_EXECUTION_ROUNDING</x:v>
      </x:c>
      <x:c r="D118" s="30" t="n">
        <x:v>1.25</x:v>
      </x:c>
      <x:c r="E118" s="30" t="str">
        <x:v>植物油</x:v>
      </x:c>
      <x:c r="F118" s="30" t="n">
        <x:v>4</x:v>
      </x:c>
      <x:c r="G118" s="30" t="str">
        <x:v>g</x:v>
      </x:c>
      <x:c r="H118" s="30" t="str">
        <x:v>added_weight</x:v>
      </x:c>
      <x:c r="I118" s="30" t="n">
        <x:v>1</x:v>
      </x:c>
      <x:c r="J118" s="30" t="n">
        <x:v>5</x:v>
      </x:c>
      <x:c r="K118" s="30" t="str">
        <x:v>植物油5g</x:v>
      </x:c>
      <x:c r="L118" s="76" t="b">
        <x:v>1</x:v>
      </x:c>
      <x:c r="M118" s="30" t="str">
        <x:v>已按MDT确认的Ingredient Master min/max/step执行化；执行量变化后必须重算营养。</x:v>
      </x:c>
      <x:c r="N118" s="30" t="n">
        <x:v>5</x:v>
      </x:c>
    </x:row>
    <x:row r="119">
      <x:c r="A119" s="30" t="str">
        <x:v>P004</x:v>
      </x:c>
      <x:c r="B119" s="30" t="str">
        <x:v>去皮鸡腿肉炖菇</x:v>
      </x:c>
      <x:c r="C119" s="30" t="str">
        <x:v>LINEAR_WITH_EXECUTION_ROUNDING</x:v>
      </x:c>
      <x:c r="D119" s="30" t="n">
        <x:v>1.5</x:v>
      </x:c>
      <x:c r="E119" s="30" t="str">
        <x:v>鸡腿肉去皮</x:v>
      </x:c>
      <x:c r="F119" s="30" t="n">
        <x:v>100</x:v>
      </x:c>
      <x:c r="G119" s="30" t="str">
        <x:v>g</x:v>
      </x:c>
      <x:c r="H119" s="30" t="str">
        <x:v>raw_edible_weight</x:v>
      </x:c>
      <x:c r="I119" s="30" t="n">
        <x:v>5</x:v>
      </x:c>
      <x:c r="J119" s="30" t="n">
        <x:v>150</x:v>
      </x:c>
      <x:c r="K119" s="30" t="str">
        <x:v>鸡腿肉去皮150g</x:v>
      </x:c>
      <x:c r="L119" s="76" t="b">
        <x:v>1</x:v>
      </x:c>
      <x:c r="M119" s="30" t="str">
        <x:v>已按MDT确认的Ingredient Master min/max/step执行化；执行量变化后必须重算营养。</x:v>
      </x:c>
      <x:c r="N119" s="30" t="n">
        <x:v>150</x:v>
      </x:c>
    </x:row>
    <x:row r="120">
      <x:c r="A120" s="30" t="str">
        <x:v>P004</x:v>
      </x:c>
      <x:c r="B120" s="30" t="str">
        <x:v>去皮鸡腿肉炖菇</x:v>
      </x:c>
      <x:c r="C120" s="30" t="str">
        <x:v>LINEAR_WITH_EXECUTION_ROUNDING</x:v>
      </x:c>
      <x:c r="D120" s="30" t="n">
        <x:v>1.5</x:v>
      </x:c>
      <x:c r="E120" s="30" t="str">
        <x:v>香菇鲜</x:v>
      </x:c>
      <x:c r="F120" s="30" t="n">
        <x:v>80</x:v>
      </x:c>
      <x:c r="G120" s="30" t="str">
        <x:v>g</x:v>
      </x:c>
      <x:c r="H120" s="30" t="str">
        <x:v>raw_edible_weight</x:v>
      </x:c>
      <x:c r="I120" s="30" t="n">
        <x:v>10</x:v>
      </x:c>
      <x:c r="J120" s="30" t="n">
        <x:v>120</x:v>
      </x:c>
      <x:c r="K120" s="30" t="str">
        <x:v>香菇鲜120g</x:v>
      </x:c>
      <x:c r="L120" s="76" t="b">
        <x:v>1</x:v>
      </x:c>
      <x:c r="M120" s="30" t="str">
        <x:v>已按MDT确认的Ingredient Master min/max/step执行化；执行量变化后必须重算营养。</x:v>
      </x:c>
      <x:c r="N120" s="30" t="n">
        <x:v>120</x:v>
      </x:c>
    </x:row>
    <x:row r="121">
      <x:c r="A121" s="30" t="str">
        <x:v>P004</x:v>
      </x:c>
      <x:c r="B121" s="30" t="str">
        <x:v>去皮鸡腿肉炖菇</x:v>
      </x:c>
      <x:c r="C121" s="30" t="str">
        <x:v>LINEAR_WITH_EXECUTION_ROUNDING</x:v>
      </x:c>
      <x:c r="D121" s="30" t="n">
        <x:v>1.5</x:v>
      </x:c>
      <x:c r="E121" s="30" t="str">
        <x:v>植物油</x:v>
      </x:c>
      <x:c r="F121" s="30" t="n">
        <x:v>4</x:v>
      </x:c>
      <x:c r="G121" s="30" t="str">
        <x:v>g</x:v>
      </x:c>
      <x:c r="H121" s="30" t="str">
        <x:v>added_weight</x:v>
      </x:c>
      <x:c r="I121" s="30" t="n">
        <x:v>1</x:v>
      </x:c>
      <x:c r="J121" s="30" t="n">
        <x:v>6</x:v>
      </x:c>
      <x:c r="K121" s="30" t="str">
        <x:v>植物油6g</x:v>
      </x:c>
      <x:c r="L121" s="76" t="b">
        <x:v>1</x:v>
      </x:c>
      <x:c r="M121" s="30" t="str">
        <x:v>已按MDT确认的Ingredient Master min/max/step执行化；执行量变化后必须重算营养。</x:v>
      </x:c>
      <x:c r="N121" s="30" t="n">
        <x:v>6</x:v>
      </x:c>
    </x:row>
    <x:row r="122">
      <x:c r="A122" s="30" t="str">
        <x:v>P005</x:v>
      </x:c>
      <x:c r="B122" s="30" t="str">
        <x:v>番茄炖瘦牛肉</x:v>
      </x:c>
      <x:c r="C122" s="30" t="str">
        <x:v>LINEAR_WITH_EXECUTION_ROUNDING</x:v>
      </x:c>
      <x:c r="D122" s="30" t="n">
        <x:v>0.5</x:v>
      </x:c>
      <x:c r="E122" s="30" t="str">
        <x:v>瘦牛肉</x:v>
      </x:c>
      <x:c r="F122" s="30" t="n">
        <x:v>80</x:v>
      </x:c>
      <x:c r="G122" s="30" t="str">
        <x:v>g</x:v>
      </x:c>
      <x:c r="H122" s="30" t="str">
        <x:v>raw_edible_weight</x:v>
      </x:c>
      <x:c r="I122" s="30" t="n">
        <x:v>5</x:v>
      </x:c>
      <x:c r="J122" s="30" t="n">
        <x:v>40</x:v>
      </x:c>
      <x:c r="K122" s="30" t="str">
        <x:v>瘦牛肉40g</x:v>
      </x:c>
      <x:c r="L122" s="76" t="b">
        <x:v>1</x:v>
      </x:c>
      <x:c r="M122" s="30" t="str">
        <x:v>已按MDT确认的Ingredient Master min/max/step执行化；执行量变化后必须重算营养。</x:v>
      </x:c>
      <x:c r="N122" s="30" t="n">
        <x:v>40</x:v>
      </x:c>
    </x:row>
    <x:row r="123">
      <x:c r="A123" s="30" t="str">
        <x:v>P005</x:v>
      </x:c>
      <x:c r="B123" s="30" t="str">
        <x:v>番茄炖瘦牛肉</x:v>
      </x:c>
      <x:c r="C123" s="30" t="str">
        <x:v>LINEAR_WITH_EXECUTION_ROUNDING</x:v>
      </x:c>
      <x:c r="D123" s="30" t="n">
        <x:v>0.5</x:v>
      </x:c>
      <x:c r="E123" s="30" t="str">
        <x:v>番茄</x:v>
      </x:c>
      <x:c r="F123" s="30" t="n">
        <x:v>150</x:v>
      </x:c>
      <x:c r="G123" s="30" t="str">
        <x:v>g</x:v>
      </x:c>
      <x:c r="H123" s="30" t="str">
        <x:v>raw_edible_weight</x:v>
      </x:c>
      <x:c r="I123" s="30" t="n">
        <x:v>10</x:v>
      </x:c>
      <x:c r="J123" s="30" t="n">
        <x:v>75</x:v>
      </x:c>
      <x:c r="K123" s="30" t="str">
        <x:v>番茄80g</x:v>
      </x:c>
      <x:c r="L123" s="76" t="b">
        <x:v>1</x:v>
      </x:c>
      <x:c r="M123" s="30" t="str">
        <x:v>已按MDT确认的Ingredient Master min/max/step执行化；执行量变化后必须重算营养。</x:v>
      </x:c>
      <x:c r="N123" s="30" t="n">
        <x:v>80</x:v>
      </x:c>
    </x:row>
    <x:row r="124">
      <x:c r="A124" s="30" t="str">
        <x:v>P005</x:v>
      </x:c>
      <x:c r="B124" s="30" t="str">
        <x:v>番茄炖瘦牛肉</x:v>
      </x:c>
      <x:c r="C124" s="30" t="str">
        <x:v>LINEAR_WITH_EXECUTION_ROUNDING</x:v>
      </x:c>
      <x:c r="D124" s="30" t="n">
        <x:v>0.5</x:v>
      </x:c>
      <x:c r="E124" s="30" t="str">
        <x:v>植物油</x:v>
      </x:c>
      <x:c r="F124" s="30" t="n">
        <x:v>5</x:v>
      </x:c>
      <x:c r="G124" s="30" t="str">
        <x:v>g</x:v>
      </x:c>
      <x:c r="H124" s="30" t="str">
        <x:v>added_weight</x:v>
      </x:c>
      <x:c r="I124" s="30" t="n">
        <x:v>1</x:v>
      </x:c>
      <x:c r="J124" s="30" t="n">
        <x:v>2.5</x:v>
      </x:c>
      <x:c r="K124" s="30" t="str">
        <x:v>植物油3g</x:v>
      </x:c>
      <x:c r="L124" s="76" t="b">
        <x:v>1</x:v>
      </x:c>
      <x:c r="M124" s="30" t="str">
        <x:v>已按MDT确认的Ingredient Master min/max/step执行化；执行量变化后必须重算营养。</x:v>
      </x:c>
      <x:c r="N124" s="30" t="n">
        <x:v>3</x:v>
      </x:c>
    </x:row>
    <x:row r="125">
      <x:c r="A125" s="30" t="str">
        <x:v>P005</x:v>
      </x:c>
      <x:c r="B125" s="30" t="str">
        <x:v>番茄炖瘦牛肉</x:v>
      </x:c>
      <x:c r="C125" s="30" t="str">
        <x:v>LINEAR_WITH_EXECUTION_ROUNDING</x:v>
      </x:c>
      <x:c r="D125" s="30" t="n">
        <x:v>0.75</x:v>
      </x:c>
      <x:c r="E125" s="30" t="str">
        <x:v>瘦牛肉</x:v>
      </x:c>
      <x:c r="F125" s="30" t="n">
        <x:v>80</x:v>
      </x:c>
      <x:c r="G125" s="30" t="str">
        <x:v>g</x:v>
      </x:c>
      <x:c r="H125" s="30" t="str">
        <x:v>raw_edible_weight</x:v>
      </x:c>
      <x:c r="I125" s="30" t="n">
        <x:v>5</x:v>
      </x:c>
      <x:c r="J125" s="30" t="n">
        <x:v>60</x:v>
      </x:c>
      <x:c r="K125" s="30" t="str">
        <x:v>瘦牛肉60g</x:v>
      </x:c>
      <x:c r="L125" s="76" t="b">
        <x:v>1</x:v>
      </x:c>
      <x:c r="M125" s="30" t="str">
        <x:v>已按MDT确认的Ingredient Master min/max/step执行化；执行量变化后必须重算营养。</x:v>
      </x:c>
      <x:c r="N125" s="30" t="n">
        <x:v>60</x:v>
      </x:c>
    </x:row>
    <x:row r="126">
      <x:c r="A126" s="30" t="str">
        <x:v>P005</x:v>
      </x:c>
      <x:c r="B126" s="30" t="str">
        <x:v>番茄炖瘦牛肉</x:v>
      </x:c>
      <x:c r="C126" s="30" t="str">
        <x:v>LINEAR_WITH_EXECUTION_ROUNDING</x:v>
      </x:c>
      <x:c r="D126" s="30" t="n">
        <x:v>0.75</x:v>
      </x:c>
      <x:c r="E126" s="30" t="str">
        <x:v>番茄</x:v>
      </x:c>
      <x:c r="F126" s="30" t="n">
        <x:v>150</x:v>
      </x:c>
      <x:c r="G126" s="30" t="str">
        <x:v>g</x:v>
      </x:c>
      <x:c r="H126" s="30" t="str">
        <x:v>raw_edible_weight</x:v>
      </x:c>
      <x:c r="I126" s="30" t="n">
        <x:v>10</x:v>
      </x:c>
      <x:c r="J126" s="30" t="n">
        <x:v>112.5</x:v>
      </x:c>
      <x:c r="K126" s="30" t="str">
        <x:v>番茄110g</x:v>
      </x:c>
      <x:c r="L126" s="76" t="b">
        <x:v>1</x:v>
      </x:c>
      <x:c r="M126" s="30" t="str">
        <x:v>已按MDT确认的Ingredient Master min/max/step执行化；执行量变化后必须重算营养。</x:v>
      </x:c>
      <x:c r="N126" s="30" t="n">
        <x:v>110</x:v>
      </x:c>
    </x:row>
    <x:row r="127">
      <x:c r="A127" s="30" t="str">
        <x:v>P005</x:v>
      </x:c>
      <x:c r="B127" s="30" t="str">
        <x:v>番茄炖瘦牛肉</x:v>
      </x:c>
      <x:c r="C127" s="30" t="str">
        <x:v>LINEAR_WITH_EXECUTION_ROUNDING</x:v>
      </x:c>
      <x:c r="D127" s="30" t="n">
        <x:v>0.75</x:v>
      </x:c>
      <x:c r="E127" s="30" t="str">
        <x:v>植物油</x:v>
      </x:c>
      <x:c r="F127" s="30" t="n">
        <x:v>5</x:v>
      </x:c>
      <x:c r="G127" s="30" t="str">
        <x:v>g</x:v>
      </x:c>
      <x:c r="H127" s="30" t="str">
        <x:v>added_weight</x:v>
      </x:c>
      <x:c r="I127" s="30" t="n">
        <x:v>1</x:v>
      </x:c>
      <x:c r="J127" s="30" t="n">
        <x:v>3.75</x:v>
      </x:c>
      <x:c r="K127" s="30" t="str">
        <x:v>植物油4g</x:v>
      </x:c>
      <x:c r="L127" s="76" t="b">
        <x:v>1</x:v>
      </x:c>
      <x:c r="M127" s="30" t="str">
        <x:v>已按MDT确认的Ingredient Master min/max/step执行化；执行量变化后必须重算营养。</x:v>
      </x:c>
      <x:c r="N127" s="30" t="n">
        <x:v>4</x:v>
      </x:c>
    </x:row>
    <x:row r="128">
      <x:c r="A128" s="30" t="str">
        <x:v>P005</x:v>
      </x:c>
      <x:c r="B128" s="30" t="str">
        <x:v>番茄炖瘦牛肉</x:v>
      </x:c>
      <x:c r="C128" s="30" t="str">
        <x:v>LINEAR_WITH_EXECUTION_ROUNDING</x:v>
      </x:c>
      <x:c r="D128" s="30" t="n">
        <x:v>1</x:v>
      </x:c>
      <x:c r="E128" s="30" t="str">
        <x:v>瘦牛肉</x:v>
      </x:c>
      <x:c r="F128" s="30" t="n">
        <x:v>80</x:v>
      </x:c>
      <x:c r="G128" s="30" t="str">
        <x:v>g</x:v>
      </x:c>
      <x:c r="H128" s="30" t="str">
        <x:v>raw_edible_weight</x:v>
      </x:c>
      <x:c r="I128" s="30" t="n">
        <x:v>5</x:v>
      </x:c>
      <x:c r="J128" s="30" t="n">
        <x:v>80</x:v>
      </x:c>
      <x:c r="K128" s="30" t="str">
        <x:v>瘦牛肉80g</x:v>
      </x:c>
      <x:c r="L128" s="76" t="b">
        <x:v>1</x:v>
      </x:c>
      <x:c r="M128" s="30" t="str">
        <x:v>已按MDT确认的Ingredient Master min/max/step执行化；执行量变化后必须重算营养。</x:v>
      </x:c>
      <x:c r="N128" s="30" t="n">
        <x:v>80</x:v>
      </x:c>
    </x:row>
    <x:row r="129">
      <x:c r="A129" s="30" t="str">
        <x:v>P005</x:v>
      </x:c>
      <x:c r="B129" s="30" t="str">
        <x:v>番茄炖瘦牛肉</x:v>
      </x:c>
      <x:c r="C129" s="30" t="str">
        <x:v>LINEAR_WITH_EXECUTION_ROUNDING</x:v>
      </x:c>
      <x:c r="D129" s="30" t="n">
        <x:v>1</x:v>
      </x:c>
      <x:c r="E129" s="30" t="str">
        <x:v>番茄</x:v>
      </x:c>
      <x:c r="F129" s="30" t="n">
        <x:v>150</x:v>
      </x:c>
      <x:c r="G129" s="30" t="str">
        <x:v>g</x:v>
      </x:c>
      <x:c r="H129" s="30" t="str">
        <x:v>raw_edible_weight</x:v>
      </x:c>
      <x:c r="I129" s="30" t="n">
        <x:v>10</x:v>
      </x:c>
      <x:c r="J129" s="30" t="n">
        <x:v>150</x:v>
      </x:c>
      <x:c r="K129" s="30" t="str">
        <x:v>番茄150g</x:v>
      </x:c>
      <x:c r="L129" s="76" t="b">
        <x:v>1</x:v>
      </x:c>
      <x:c r="M129" s="30" t="str">
        <x:v>已按MDT确认的Ingredient Master min/max/step执行化；执行量变化后必须重算营养。</x:v>
      </x:c>
      <x:c r="N129" s="30" t="n">
        <x:v>150</x:v>
      </x:c>
    </x:row>
    <x:row r="130">
      <x:c r="A130" s="30" t="str">
        <x:v>P005</x:v>
      </x:c>
      <x:c r="B130" s="30" t="str">
        <x:v>番茄炖瘦牛肉</x:v>
      </x:c>
      <x:c r="C130" s="30" t="str">
        <x:v>LINEAR_WITH_EXECUTION_ROUNDING</x:v>
      </x:c>
      <x:c r="D130" s="30" t="n">
        <x:v>1</x:v>
      </x:c>
      <x:c r="E130" s="30" t="str">
        <x:v>植物油</x:v>
      </x:c>
      <x:c r="F130" s="30" t="n">
        <x:v>5</x:v>
      </x:c>
      <x:c r="G130" s="30" t="str">
        <x:v>g</x:v>
      </x:c>
      <x:c r="H130" s="30" t="str">
        <x:v>added_weight</x:v>
      </x:c>
      <x:c r="I130" s="30" t="n">
        <x:v>1</x:v>
      </x:c>
      <x:c r="J130" s="30" t="n">
        <x:v>5</x:v>
      </x:c>
      <x:c r="K130" s="30" t="str">
        <x:v>植物油5g</x:v>
      </x:c>
      <x:c r="L130" s="76" t="b">
        <x:v>1</x:v>
      </x:c>
      <x:c r="M130" s="30" t="str">
        <x:v>已按MDT确认的Ingredient Master min/max/step执行化；执行量变化后必须重算营养。</x:v>
      </x:c>
      <x:c r="N130" s="30" t="n">
        <x:v>5</x:v>
      </x:c>
    </x:row>
    <x:row r="131">
      <x:c r="A131" s="30" t="str">
        <x:v>P005</x:v>
      </x:c>
      <x:c r="B131" s="30" t="str">
        <x:v>番茄炖瘦牛肉</x:v>
      </x:c>
      <x:c r="C131" s="30" t="str">
        <x:v>LINEAR_WITH_EXECUTION_ROUNDING</x:v>
      </x:c>
      <x:c r="D131" s="30" t="n">
        <x:v>1.25</x:v>
      </x:c>
      <x:c r="E131" s="30" t="str">
        <x:v>瘦牛肉</x:v>
      </x:c>
      <x:c r="F131" s="30" t="n">
        <x:v>80</x:v>
      </x:c>
      <x:c r="G131" s="30" t="str">
        <x:v>g</x:v>
      </x:c>
      <x:c r="H131" s="30" t="str">
        <x:v>raw_edible_weight</x:v>
      </x:c>
      <x:c r="I131" s="30" t="n">
        <x:v>5</x:v>
      </x:c>
      <x:c r="J131" s="30" t="n">
        <x:v>100</x:v>
      </x:c>
      <x:c r="K131" s="30" t="str">
        <x:v>瘦牛肉100g</x:v>
      </x:c>
      <x:c r="L131" s="76" t="b">
        <x:v>1</x:v>
      </x:c>
      <x:c r="M131" s="30" t="str">
        <x:v>已按MDT确认的Ingredient Master min/max/step执行化；执行量变化后必须重算营养。</x:v>
      </x:c>
      <x:c r="N131" s="30" t="n">
        <x:v>100</x:v>
      </x:c>
    </x:row>
    <x:row r="132">
      <x:c r="A132" s="30" t="str">
        <x:v>P005</x:v>
      </x:c>
      <x:c r="B132" s="30" t="str">
        <x:v>番茄炖瘦牛肉</x:v>
      </x:c>
      <x:c r="C132" s="30" t="str">
        <x:v>LINEAR_WITH_EXECUTION_ROUNDING</x:v>
      </x:c>
      <x:c r="D132" s="30" t="n">
        <x:v>1.25</x:v>
      </x:c>
      <x:c r="E132" s="30" t="str">
        <x:v>番茄</x:v>
      </x:c>
      <x:c r="F132" s="30" t="n">
        <x:v>150</x:v>
      </x:c>
      <x:c r="G132" s="30" t="str">
        <x:v>g</x:v>
      </x:c>
      <x:c r="H132" s="30" t="str">
        <x:v>raw_edible_weight</x:v>
      </x:c>
      <x:c r="I132" s="30" t="n">
        <x:v>10</x:v>
      </x:c>
      <x:c r="J132" s="30" t="n">
        <x:v>187.5</x:v>
      </x:c>
      <x:c r="K132" s="30" t="str">
        <x:v>番茄190g</x:v>
      </x:c>
      <x:c r="L132" s="76" t="b">
        <x:v>1</x:v>
      </x:c>
      <x:c r="M132" s="30" t="str">
        <x:v>已按MDT确认的Ingredient Master min/max/step执行化；执行量变化后必须重算营养。</x:v>
      </x:c>
      <x:c r="N132" s="30" t="n">
        <x:v>190</x:v>
      </x:c>
    </x:row>
    <x:row r="133">
      <x:c r="A133" s="30" t="str">
        <x:v>P005</x:v>
      </x:c>
      <x:c r="B133" s="30" t="str">
        <x:v>番茄炖瘦牛肉</x:v>
      </x:c>
      <x:c r="C133" s="30" t="str">
        <x:v>LINEAR_WITH_EXECUTION_ROUNDING</x:v>
      </x:c>
      <x:c r="D133" s="30" t="n">
        <x:v>1.25</x:v>
      </x:c>
      <x:c r="E133" s="30" t="str">
        <x:v>植物油</x:v>
      </x:c>
      <x:c r="F133" s="30" t="n">
        <x:v>5</x:v>
      </x:c>
      <x:c r="G133" s="30" t="str">
        <x:v>g</x:v>
      </x:c>
      <x:c r="H133" s="30" t="str">
        <x:v>added_weight</x:v>
      </x:c>
      <x:c r="I133" s="30" t="n">
        <x:v>1</x:v>
      </x:c>
      <x:c r="J133" s="30" t="n">
        <x:v>6.25</x:v>
      </x:c>
      <x:c r="K133" s="30" t="str">
        <x:v>植物油6g</x:v>
      </x:c>
      <x:c r="L133" s="76" t="b">
        <x:v>1</x:v>
      </x:c>
      <x:c r="M133" s="30" t="str">
        <x:v>已按MDT确认的Ingredient Master min/max/step执行化；执行量变化后必须重算营养。</x:v>
      </x:c>
      <x:c r="N133" s="30" t="n">
        <x:v>6</x:v>
      </x:c>
    </x:row>
    <x:row r="134">
      <x:c r="A134" s="30" t="str">
        <x:v>P005</x:v>
      </x:c>
      <x:c r="B134" s="30" t="str">
        <x:v>番茄炖瘦牛肉</x:v>
      </x:c>
      <x:c r="C134" s="30" t="str">
        <x:v>LINEAR_WITH_EXECUTION_ROUNDING</x:v>
      </x:c>
      <x:c r="D134" s="30" t="n">
        <x:v>1.5</x:v>
      </x:c>
      <x:c r="E134" s="30" t="str">
        <x:v>瘦牛肉</x:v>
      </x:c>
      <x:c r="F134" s="30" t="n">
        <x:v>80</x:v>
      </x:c>
      <x:c r="G134" s="30" t="str">
        <x:v>g</x:v>
      </x:c>
      <x:c r="H134" s="30" t="str">
        <x:v>raw_edible_weight</x:v>
      </x:c>
      <x:c r="I134" s="30" t="n">
        <x:v>5</x:v>
      </x:c>
      <x:c r="J134" s="30" t="n">
        <x:v>120</x:v>
      </x:c>
      <x:c r="K134" s="30" t="str">
        <x:v>瘦牛肉120g</x:v>
      </x:c>
      <x:c r="L134" s="76" t="b">
        <x:v>1</x:v>
      </x:c>
      <x:c r="M134" s="30" t="str">
        <x:v>已按MDT确认的Ingredient Master min/max/step执行化；执行量变化后必须重算营养。</x:v>
      </x:c>
      <x:c r="N134" s="30" t="n">
        <x:v>120</x:v>
      </x:c>
    </x:row>
    <x:row r="135">
      <x:c r="A135" s="30" t="str">
        <x:v>P005</x:v>
      </x:c>
      <x:c r="B135" s="30" t="str">
        <x:v>番茄炖瘦牛肉</x:v>
      </x:c>
      <x:c r="C135" s="30" t="str">
        <x:v>LINEAR_WITH_EXECUTION_ROUNDING</x:v>
      </x:c>
      <x:c r="D135" s="30" t="n">
        <x:v>1.5</x:v>
      </x:c>
      <x:c r="E135" s="30" t="str">
        <x:v>番茄</x:v>
      </x:c>
      <x:c r="F135" s="30" t="n">
        <x:v>150</x:v>
      </x:c>
      <x:c r="G135" s="30" t="str">
        <x:v>g</x:v>
      </x:c>
      <x:c r="H135" s="30" t="str">
        <x:v>raw_edible_weight</x:v>
      </x:c>
      <x:c r="I135" s="30" t="n">
        <x:v>10</x:v>
      </x:c>
      <x:c r="J135" s="30" t="n">
        <x:v>225</x:v>
      </x:c>
      <x:c r="K135" s="30" t="str">
        <x:v>番茄230g</x:v>
      </x:c>
      <x:c r="L135" s="76" t="b">
        <x:v>1</x:v>
      </x:c>
      <x:c r="M135" s="30" t="str">
        <x:v>已按MDT确认的Ingredient Master min/max/step执行化；执行量变化后必须重算营养。</x:v>
      </x:c>
      <x:c r="N135" s="30" t="n">
        <x:v>230</x:v>
      </x:c>
    </x:row>
    <x:row r="136">
      <x:c r="A136" s="30" t="str">
        <x:v>P005</x:v>
      </x:c>
      <x:c r="B136" s="30" t="str">
        <x:v>番茄炖瘦牛肉</x:v>
      </x:c>
      <x:c r="C136" s="30" t="str">
        <x:v>LINEAR_WITH_EXECUTION_ROUNDING</x:v>
      </x:c>
      <x:c r="D136" s="30" t="n">
        <x:v>1.5</x:v>
      </x:c>
      <x:c r="E136" s="30" t="str">
        <x:v>植物油</x:v>
      </x:c>
      <x:c r="F136" s="30" t="n">
        <x:v>5</x:v>
      </x:c>
      <x:c r="G136" s="30" t="str">
        <x:v>g</x:v>
      </x:c>
      <x:c r="H136" s="30" t="str">
        <x:v>added_weight</x:v>
      </x:c>
      <x:c r="I136" s="30" t="n">
        <x:v>1</x:v>
      </x:c>
      <x:c r="J136" s="30" t="n">
        <x:v>7.5</x:v>
      </x:c>
      <x:c r="K136" s="30" t="str">
        <x:v>植物油8g</x:v>
      </x:c>
      <x:c r="L136" s="76" t="b">
        <x:v>1</x:v>
      </x:c>
      <x:c r="M136" s="30" t="str">
        <x:v>已按MDT确认的Ingredient Master min/max/step执行化；执行量变化后必须重算营养。</x:v>
      </x:c>
      <x:c r="N136" s="30" t="n">
        <x:v>8</x:v>
      </x:c>
    </x:row>
    <x:row r="137">
      <x:c r="A137" s="30" t="str">
        <x:v>P006</x:v>
      </x:c>
      <x:c r="B137" s="30" t="str">
        <x:v>芹菜木耳里脊</x:v>
      </x:c>
      <x:c r="C137" s="30" t="str">
        <x:v>LINEAR_WITH_EXECUTION_ROUNDING</x:v>
      </x:c>
      <x:c r="D137" s="30" t="n">
        <x:v>0.5</x:v>
      </x:c>
      <x:c r="E137" s="30" t="str">
        <x:v>猪里脊</x:v>
      </x:c>
      <x:c r="F137" s="30" t="n">
        <x:v>80</x:v>
      </x:c>
      <x:c r="G137" s="30" t="str">
        <x:v>g</x:v>
      </x:c>
      <x:c r="H137" s="30" t="str">
        <x:v>raw_edible_weight</x:v>
      </x:c>
      <x:c r="I137" s="30" t="n">
        <x:v>5</x:v>
      </x:c>
      <x:c r="J137" s="30" t="n">
        <x:v>40</x:v>
      </x:c>
      <x:c r="K137" s="30" t="str">
        <x:v>猪里脊40g</x:v>
      </x:c>
      <x:c r="L137" s="76" t="b">
        <x:v>1</x:v>
      </x:c>
      <x:c r="M137" s="30" t="str">
        <x:v>已按MDT确认的Ingredient Master min/max/step执行化；执行量变化后必须重算营养。</x:v>
      </x:c>
      <x:c r="N137" s="30" t="n">
        <x:v>40</x:v>
      </x:c>
    </x:row>
    <x:row r="138">
      <x:c r="A138" s="30" t="str">
        <x:v>P006</x:v>
      </x:c>
      <x:c r="B138" s="30" t="str">
        <x:v>芹菜木耳里脊</x:v>
      </x:c>
      <x:c r="C138" s="30" t="str">
        <x:v>LINEAR_WITH_EXECUTION_ROUNDING</x:v>
      </x:c>
      <x:c r="D138" s="30" t="n">
        <x:v>0.5</x:v>
      </x:c>
      <x:c r="E138" s="30" t="str">
        <x:v>芹菜</x:v>
      </x:c>
      <x:c r="F138" s="30" t="n">
        <x:v>100</x:v>
      </x:c>
      <x:c r="G138" s="30" t="str">
        <x:v>g</x:v>
      </x:c>
      <x:c r="H138" s="30" t="str">
        <x:v>raw_edible_weight</x:v>
      </x:c>
      <x:c r="I138" s="30" t="n">
        <x:v>10</x:v>
      </x:c>
      <x:c r="J138" s="30" t="n">
        <x:v>50</x:v>
      </x:c>
      <x:c r="K138" s="30" t="str">
        <x:v>芹菜50g</x:v>
      </x:c>
      <x:c r="L138" s="76" t="b">
        <x:v>1</x:v>
      </x:c>
      <x:c r="M138" s="30" t="str">
        <x:v>已按MDT确认的Ingredient Master min/max/step执行化；执行量变化后必须重算营养。</x:v>
      </x:c>
      <x:c r="N138" s="30" t="n">
        <x:v>50</x:v>
      </x:c>
    </x:row>
    <x:row r="139">
      <x:c r="A139" s="30" t="str">
        <x:v>P006</x:v>
      </x:c>
      <x:c r="B139" s="30" t="str">
        <x:v>芹菜木耳里脊</x:v>
      </x:c>
      <x:c r="C139" s="30" t="str">
        <x:v>LINEAR_WITH_EXECUTION_ROUNDING</x:v>
      </x:c>
      <x:c r="D139" s="30" t="n">
        <x:v>0.5</x:v>
      </x:c>
      <x:c r="E139" s="30" t="str">
        <x:v>木耳鲜</x:v>
      </x:c>
      <x:c r="F139" s="30" t="n">
        <x:v>50</x:v>
      </x:c>
      <x:c r="G139" s="30" t="str">
        <x:v>g</x:v>
      </x:c>
      <x:c r="H139" s="30" t="str">
        <x:v>raw_edible_weight</x:v>
      </x:c>
      <x:c r="I139" s="30" t="n">
        <x:v>10</x:v>
      </x:c>
      <x:c r="J139" s="30" t="n">
        <x:v>25</x:v>
      </x:c>
      <x:c r="K139" s="30" t="str">
        <x:v>木耳鲜30g</x:v>
      </x:c>
      <x:c r="L139" s="76" t="b">
        <x:v>1</x:v>
      </x:c>
      <x:c r="M139" s="30" t="str">
        <x:v>已按MDT确认的Ingredient Master min/max/step执行化；执行量变化后必须重算营养。</x:v>
      </x:c>
      <x:c r="N139" s="30" t="n">
        <x:v>30</x:v>
      </x:c>
    </x:row>
    <x:row r="140">
      <x:c r="A140" s="30" t="str">
        <x:v>P006</x:v>
      </x:c>
      <x:c r="B140" s="30" t="str">
        <x:v>芹菜木耳里脊</x:v>
      </x:c>
      <x:c r="C140" s="30" t="str">
        <x:v>LINEAR_WITH_EXECUTION_ROUNDING</x:v>
      </x:c>
      <x:c r="D140" s="30" t="n">
        <x:v>0.5</x:v>
      </x:c>
      <x:c r="E140" s="30" t="str">
        <x:v>植物油</x:v>
      </x:c>
      <x:c r="F140" s="30" t="n">
        <x:v>5</x:v>
      </x:c>
      <x:c r="G140" s="30" t="str">
        <x:v>g</x:v>
      </x:c>
      <x:c r="H140" s="30" t="str">
        <x:v>added_weight</x:v>
      </x:c>
      <x:c r="I140" s="30" t="n">
        <x:v>1</x:v>
      </x:c>
      <x:c r="J140" s="30" t="n">
        <x:v>2.5</x:v>
      </x:c>
      <x:c r="K140" s="30" t="str">
        <x:v>植物油3g</x:v>
      </x:c>
      <x:c r="L140" s="76" t="b">
        <x:v>1</x:v>
      </x:c>
      <x:c r="M140" s="30" t="str">
        <x:v>已按MDT确认的Ingredient Master min/max/step执行化；执行量变化后必须重算营养。</x:v>
      </x:c>
      <x:c r="N140" s="30" t="n">
        <x:v>3</x:v>
      </x:c>
    </x:row>
    <x:row r="141">
      <x:c r="A141" s="30" t="str">
        <x:v>P006</x:v>
      </x:c>
      <x:c r="B141" s="30" t="str">
        <x:v>芹菜木耳里脊</x:v>
      </x:c>
      <x:c r="C141" s="30" t="str">
        <x:v>LINEAR_WITH_EXECUTION_ROUNDING</x:v>
      </x:c>
      <x:c r="D141" s="30" t="n">
        <x:v>0.75</x:v>
      </x:c>
      <x:c r="E141" s="30" t="str">
        <x:v>猪里脊</x:v>
      </x:c>
      <x:c r="F141" s="30" t="n">
        <x:v>80</x:v>
      </x:c>
      <x:c r="G141" s="30" t="str">
        <x:v>g</x:v>
      </x:c>
      <x:c r="H141" s="30" t="str">
        <x:v>raw_edible_weight</x:v>
      </x:c>
      <x:c r="I141" s="30" t="n">
        <x:v>5</x:v>
      </x:c>
      <x:c r="J141" s="30" t="n">
        <x:v>60</x:v>
      </x:c>
      <x:c r="K141" s="30" t="str">
        <x:v>猪里脊60g</x:v>
      </x:c>
      <x:c r="L141" s="76" t="b">
        <x:v>1</x:v>
      </x:c>
      <x:c r="M141" s="30" t="str">
        <x:v>已按MDT确认的Ingredient Master min/max/step执行化；执行量变化后必须重算营养。</x:v>
      </x:c>
      <x:c r="N141" s="30" t="n">
        <x:v>60</x:v>
      </x:c>
    </x:row>
    <x:row r="142">
      <x:c r="A142" s="30" t="str">
        <x:v>P006</x:v>
      </x:c>
      <x:c r="B142" s="30" t="str">
        <x:v>芹菜木耳里脊</x:v>
      </x:c>
      <x:c r="C142" s="30" t="str">
        <x:v>LINEAR_WITH_EXECUTION_ROUNDING</x:v>
      </x:c>
      <x:c r="D142" s="30" t="n">
        <x:v>0.75</x:v>
      </x:c>
      <x:c r="E142" s="30" t="str">
        <x:v>芹菜</x:v>
      </x:c>
      <x:c r="F142" s="30" t="n">
        <x:v>100</x:v>
      </x:c>
      <x:c r="G142" s="30" t="str">
        <x:v>g</x:v>
      </x:c>
      <x:c r="H142" s="30" t="str">
        <x:v>raw_edible_weight</x:v>
      </x:c>
      <x:c r="I142" s="30" t="n">
        <x:v>10</x:v>
      </x:c>
      <x:c r="J142" s="30" t="n">
        <x:v>75</x:v>
      </x:c>
      <x:c r="K142" s="30" t="str">
        <x:v>芹菜80g</x:v>
      </x:c>
      <x:c r="L142" s="76" t="b">
        <x:v>1</x:v>
      </x:c>
      <x:c r="M142" s="30" t="str">
        <x:v>已按MDT确认的Ingredient Master min/max/step执行化；执行量变化后必须重算营养。</x:v>
      </x:c>
      <x:c r="N142" s="30" t="n">
        <x:v>80</x:v>
      </x:c>
    </x:row>
    <x:row r="143">
      <x:c r="A143" s="30" t="str">
        <x:v>P006</x:v>
      </x:c>
      <x:c r="B143" s="30" t="str">
        <x:v>芹菜木耳里脊</x:v>
      </x:c>
      <x:c r="C143" s="30" t="str">
        <x:v>LINEAR_WITH_EXECUTION_ROUNDING</x:v>
      </x:c>
      <x:c r="D143" s="30" t="n">
        <x:v>0.75</x:v>
      </x:c>
      <x:c r="E143" s="30" t="str">
        <x:v>木耳鲜</x:v>
      </x:c>
      <x:c r="F143" s="30" t="n">
        <x:v>50</x:v>
      </x:c>
      <x:c r="G143" s="30" t="str">
        <x:v>g</x:v>
      </x:c>
      <x:c r="H143" s="30" t="str">
        <x:v>raw_edible_weight</x:v>
      </x:c>
      <x:c r="I143" s="30" t="n">
        <x:v>10</x:v>
      </x:c>
      <x:c r="J143" s="30" t="n">
        <x:v>37.5</x:v>
      </x:c>
      <x:c r="K143" s="30" t="str">
        <x:v>木耳鲜40g</x:v>
      </x:c>
      <x:c r="L143" s="76" t="b">
        <x:v>1</x:v>
      </x:c>
      <x:c r="M143" s="30" t="str">
        <x:v>已按MDT确认的Ingredient Master min/max/step执行化；执行量变化后必须重算营养。</x:v>
      </x:c>
      <x:c r="N143" s="30" t="n">
        <x:v>40</x:v>
      </x:c>
    </x:row>
    <x:row r="144">
      <x:c r="A144" s="30" t="str">
        <x:v>P006</x:v>
      </x:c>
      <x:c r="B144" s="30" t="str">
        <x:v>芹菜木耳里脊</x:v>
      </x:c>
      <x:c r="C144" s="30" t="str">
        <x:v>LINEAR_WITH_EXECUTION_ROUNDING</x:v>
      </x:c>
      <x:c r="D144" s="30" t="n">
        <x:v>0.75</x:v>
      </x:c>
      <x:c r="E144" s="30" t="str">
        <x:v>植物油</x:v>
      </x:c>
      <x:c r="F144" s="30" t="n">
        <x:v>5</x:v>
      </x:c>
      <x:c r="G144" s="30" t="str">
        <x:v>g</x:v>
      </x:c>
      <x:c r="H144" s="30" t="str">
        <x:v>added_weight</x:v>
      </x:c>
      <x:c r="I144" s="30" t="n">
        <x:v>1</x:v>
      </x:c>
      <x:c r="J144" s="30" t="n">
        <x:v>3.75</x:v>
      </x:c>
      <x:c r="K144" s="30" t="str">
        <x:v>植物油4g</x:v>
      </x:c>
      <x:c r="L144" s="76" t="b">
        <x:v>1</x:v>
      </x:c>
      <x:c r="M144" s="30" t="str">
        <x:v>已按MDT确认的Ingredient Master min/max/step执行化；执行量变化后必须重算营养。</x:v>
      </x:c>
      <x:c r="N144" s="30" t="n">
        <x:v>4</x:v>
      </x:c>
    </x:row>
    <x:row r="145">
      <x:c r="A145" s="30" t="str">
        <x:v>P006</x:v>
      </x:c>
      <x:c r="B145" s="30" t="str">
        <x:v>芹菜木耳里脊</x:v>
      </x:c>
      <x:c r="C145" s="30" t="str">
        <x:v>LINEAR_WITH_EXECUTION_ROUNDING</x:v>
      </x:c>
      <x:c r="D145" s="30" t="n">
        <x:v>1</x:v>
      </x:c>
      <x:c r="E145" s="30" t="str">
        <x:v>猪里脊</x:v>
      </x:c>
      <x:c r="F145" s="30" t="n">
        <x:v>80</x:v>
      </x:c>
      <x:c r="G145" s="30" t="str">
        <x:v>g</x:v>
      </x:c>
      <x:c r="H145" s="30" t="str">
        <x:v>raw_edible_weight</x:v>
      </x:c>
      <x:c r="I145" s="30" t="n">
        <x:v>5</x:v>
      </x:c>
      <x:c r="J145" s="30" t="n">
        <x:v>80</x:v>
      </x:c>
      <x:c r="K145" s="30" t="str">
        <x:v>猪里脊80g</x:v>
      </x:c>
      <x:c r="L145" s="76" t="b">
        <x:v>1</x:v>
      </x:c>
      <x:c r="M145" s="30" t="str">
        <x:v>已按MDT确认的Ingredient Master min/max/step执行化；执行量变化后必须重算营养。</x:v>
      </x:c>
      <x:c r="N145" s="30" t="n">
        <x:v>80</x:v>
      </x:c>
    </x:row>
    <x:row r="146">
      <x:c r="A146" s="30" t="str">
        <x:v>P006</x:v>
      </x:c>
      <x:c r="B146" s="30" t="str">
        <x:v>芹菜木耳里脊</x:v>
      </x:c>
      <x:c r="C146" s="30" t="str">
        <x:v>LINEAR_WITH_EXECUTION_ROUNDING</x:v>
      </x:c>
      <x:c r="D146" s="30" t="n">
        <x:v>1</x:v>
      </x:c>
      <x:c r="E146" s="30" t="str">
        <x:v>芹菜</x:v>
      </x:c>
      <x:c r="F146" s="30" t="n">
        <x:v>100</x:v>
      </x:c>
      <x:c r="G146" s="30" t="str">
        <x:v>g</x:v>
      </x:c>
      <x:c r="H146" s="30" t="str">
        <x:v>raw_edible_weight</x:v>
      </x:c>
      <x:c r="I146" s="30" t="n">
        <x:v>10</x:v>
      </x:c>
      <x:c r="J146" s="30" t="n">
        <x:v>100</x:v>
      </x:c>
      <x:c r="K146" s="30" t="str">
        <x:v>芹菜100g</x:v>
      </x:c>
      <x:c r="L146" s="76" t="b">
        <x:v>1</x:v>
      </x:c>
      <x:c r="M146" s="30" t="str">
        <x:v>已按MDT确认的Ingredient Master min/max/step执行化；执行量变化后必须重算营养。</x:v>
      </x:c>
      <x:c r="N146" s="30" t="n">
        <x:v>100</x:v>
      </x:c>
    </x:row>
    <x:row r="147">
      <x:c r="A147" s="30" t="str">
        <x:v>P006</x:v>
      </x:c>
      <x:c r="B147" s="30" t="str">
        <x:v>芹菜木耳里脊</x:v>
      </x:c>
      <x:c r="C147" s="30" t="str">
        <x:v>LINEAR_WITH_EXECUTION_ROUNDING</x:v>
      </x:c>
      <x:c r="D147" s="30" t="n">
        <x:v>1</x:v>
      </x:c>
      <x:c r="E147" s="30" t="str">
        <x:v>木耳鲜</x:v>
      </x:c>
      <x:c r="F147" s="30" t="n">
        <x:v>50</x:v>
      </x:c>
      <x:c r="G147" s="30" t="str">
        <x:v>g</x:v>
      </x:c>
      <x:c r="H147" s="30" t="str">
        <x:v>raw_edible_weight</x:v>
      </x:c>
      <x:c r="I147" s="30" t="n">
        <x:v>10</x:v>
      </x:c>
      <x:c r="J147" s="30" t="n">
        <x:v>50</x:v>
      </x:c>
      <x:c r="K147" s="30" t="str">
        <x:v>木耳鲜50g</x:v>
      </x:c>
      <x:c r="L147" s="76" t="b">
        <x:v>1</x:v>
      </x:c>
      <x:c r="M147" s="30" t="str">
        <x:v>已按MDT确认的Ingredient Master min/max/step执行化；执行量变化后必须重算营养。</x:v>
      </x:c>
      <x:c r="N147" s="30" t="n">
        <x:v>50</x:v>
      </x:c>
    </x:row>
    <x:row r="148">
      <x:c r="A148" s="30" t="str">
        <x:v>P006</x:v>
      </x:c>
      <x:c r="B148" s="30" t="str">
        <x:v>芹菜木耳里脊</x:v>
      </x:c>
      <x:c r="C148" s="30" t="str">
        <x:v>LINEAR_WITH_EXECUTION_ROUNDING</x:v>
      </x:c>
      <x:c r="D148" s="30" t="n">
        <x:v>1</x:v>
      </x:c>
      <x:c r="E148" s="30" t="str">
        <x:v>植物油</x:v>
      </x:c>
      <x:c r="F148" s="30" t="n">
        <x:v>5</x:v>
      </x:c>
      <x:c r="G148" s="30" t="str">
        <x:v>g</x:v>
      </x:c>
      <x:c r="H148" s="30" t="str">
        <x:v>added_weight</x:v>
      </x:c>
      <x:c r="I148" s="30" t="n">
        <x:v>1</x:v>
      </x:c>
      <x:c r="J148" s="30" t="n">
        <x:v>5</x:v>
      </x:c>
      <x:c r="K148" s="30" t="str">
        <x:v>植物油5g</x:v>
      </x:c>
      <x:c r="L148" s="76" t="b">
        <x:v>1</x:v>
      </x:c>
      <x:c r="M148" s="30" t="str">
        <x:v>已按MDT确认的Ingredient Master min/max/step执行化；执行量变化后必须重算营养。</x:v>
      </x:c>
      <x:c r="N148" s="30" t="n">
        <x:v>5</x:v>
      </x:c>
    </x:row>
    <x:row r="149">
      <x:c r="A149" s="30" t="str">
        <x:v>P006</x:v>
      </x:c>
      <x:c r="B149" s="30" t="str">
        <x:v>芹菜木耳里脊</x:v>
      </x:c>
      <x:c r="C149" s="30" t="str">
        <x:v>LINEAR_WITH_EXECUTION_ROUNDING</x:v>
      </x:c>
      <x:c r="D149" s="30" t="n">
        <x:v>1.25</x:v>
      </x:c>
      <x:c r="E149" s="30" t="str">
        <x:v>猪里脊</x:v>
      </x:c>
      <x:c r="F149" s="30" t="n">
        <x:v>80</x:v>
      </x:c>
      <x:c r="G149" s="30" t="str">
        <x:v>g</x:v>
      </x:c>
      <x:c r="H149" s="30" t="str">
        <x:v>raw_edible_weight</x:v>
      </x:c>
      <x:c r="I149" s="30" t="n">
        <x:v>5</x:v>
      </x:c>
      <x:c r="J149" s="30" t="n">
        <x:v>100</x:v>
      </x:c>
      <x:c r="K149" s="30" t="str">
        <x:v>猪里脊100g</x:v>
      </x:c>
      <x:c r="L149" s="76" t="b">
        <x:v>1</x:v>
      </x:c>
      <x:c r="M149" s="30" t="str">
        <x:v>已按MDT确认的Ingredient Master min/max/step执行化；执行量变化后必须重算营养。</x:v>
      </x:c>
      <x:c r="N149" s="30" t="n">
        <x:v>100</x:v>
      </x:c>
    </x:row>
    <x:row r="150">
      <x:c r="A150" s="30" t="str">
        <x:v>P006</x:v>
      </x:c>
      <x:c r="B150" s="30" t="str">
        <x:v>芹菜木耳里脊</x:v>
      </x:c>
      <x:c r="C150" s="30" t="str">
        <x:v>LINEAR_WITH_EXECUTION_ROUNDING</x:v>
      </x:c>
      <x:c r="D150" s="30" t="n">
        <x:v>1.25</x:v>
      </x:c>
      <x:c r="E150" s="30" t="str">
        <x:v>芹菜</x:v>
      </x:c>
      <x:c r="F150" s="30" t="n">
        <x:v>100</x:v>
      </x:c>
      <x:c r="G150" s="30" t="str">
        <x:v>g</x:v>
      </x:c>
      <x:c r="H150" s="30" t="str">
        <x:v>raw_edible_weight</x:v>
      </x:c>
      <x:c r="I150" s="30" t="n">
        <x:v>10</x:v>
      </x:c>
      <x:c r="J150" s="30" t="n">
        <x:v>125</x:v>
      </x:c>
      <x:c r="K150" s="30" t="str">
        <x:v>芹菜130g</x:v>
      </x:c>
      <x:c r="L150" s="76" t="b">
        <x:v>1</x:v>
      </x:c>
      <x:c r="M150" s="30" t="str">
        <x:v>已按MDT确认的Ingredient Master min/max/step执行化；执行量变化后必须重算营养。</x:v>
      </x:c>
      <x:c r="N150" s="30" t="n">
        <x:v>130</x:v>
      </x:c>
    </x:row>
    <x:row r="151">
      <x:c r="A151" s="30" t="str">
        <x:v>P006</x:v>
      </x:c>
      <x:c r="B151" s="30" t="str">
        <x:v>芹菜木耳里脊</x:v>
      </x:c>
      <x:c r="C151" s="30" t="str">
        <x:v>LINEAR_WITH_EXECUTION_ROUNDING</x:v>
      </x:c>
      <x:c r="D151" s="30" t="n">
        <x:v>1.25</x:v>
      </x:c>
      <x:c r="E151" s="30" t="str">
        <x:v>木耳鲜</x:v>
      </x:c>
      <x:c r="F151" s="30" t="n">
        <x:v>50</x:v>
      </x:c>
      <x:c r="G151" s="30" t="str">
        <x:v>g</x:v>
      </x:c>
      <x:c r="H151" s="30" t="str">
        <x:v>raw_edible_weight</x:v>
      </x:c>
      <x:c r="I151" s="30" t="n">
        <x:v>10</x:v>
      </x:c>
      <x:c r="J151" s="30" t="n">
        <x:v>62.5</x:v>
      </x:c>
      <x:c r="K151" s="30" t="str">
        <x:v>木耳鲜60g</x:v>
      </x:c>
      <x:c r="L151" s="76" t="b">
        <x:v>1</x:v>
      </x:c>
      <x:c r="M151" s="30" t="str">
        <x:v>已按MDT确认的Ingredient Master min/max/step执行化；执行量变化后必须重算营养。</x:v>
      </x:c>
      <x:c r="N151" s="30" t="n">
        <x:v>60</x:v>
      </x:c>
    </x:row>
    <x:row r="152">
      <x:c r="A152" s="30" t="str">
        <x:v>P006</x:v>
      </x:c>
      <x:c r="B152" s="30" t="str">
        <x:v>芹菜木耳里脊</x:v>
      </x:c>
      <x:c r="C152" s="30" t="str">
        <x:v>LINEAR_WITH_EXECUTION_ROUNDING</x:v>
      </x:c>
      <x:c r="D152" s="30" t="n">
        <x:v>1.25</x:v>
      </x:c>
      <x:c r="E152" s="30" t="str">
        <x:v>植物油</x:v>
      </x:c>
      <x:c r="F152" s="30" t="n">
        <x:v>5</x:v>
      </x:c>
      <x:c r="G152" s="30" t="str">
        <x:v>g</x:v>
      </x:c>
      <x:c r="H152" s="30" t="str">
        <x:v>added_weight</x:v>
      </x:c>
      <x:c r="I152" s="30" t="n">
        <x:v>1</x:v>
      </x:c>
      <x:c r="J152" s="30" t="n">
        <x:v>6.25</x:v>
      </x:c>
      <x:c r="K152" s="30" t="str">
        <x:v>植物油6g</x:v>
      </x:c>
      <x:c r="L152" s="76" t="b">
        <x:v>1</x:v>
      </x:c>
      <x:c r="M152" s="30" t="str">
        <x:v>已按MDT确认的Ingredient Master min/max/step执行化；执行量变化后必须重算营养。</x:v>
      </x:c>
      <x:c r="N152" s="30" t="n">
        <x:v>6</x:v>
      </x:c>
    </x:row>
    <x:row r="153">
      <x:c r="A153" s="30" t="str">
        <x:v>P006</x:v>
      </x:c>
      <x:c r="B153" s="30" t="str">
        <x:v>芹菜木耳里脊</x:v>
      </x:c>
      <x:c r="C153" s="30" t="str">
        <x:v>LINEAR_WITH_EXECUTION_ROUNDING</x:v>
      </x:c>
      <x:c r="D153" s="30" t="n">
        <x:v>1.5</x:v>
      </x:c>
      <x:c r="E153" s="30" t="str">
        <x:v>猪里脊</x:v>
      </x:c>
      <x:c r="F153" s="30" t="n">
        <x:v>80</x:v>
      </x:c>
      <x:c r="G153" s="30" t="str">
        <x:v>g</x:v>
      </x:c>
      <x:c r="H153" s="30" t="str">
        <x:v>raw_edible_weight</x:v>
      </x:c>
      <x:c r="I153" s="30" t="n">
        <x:v>5</x:v>
      </x:c>
      <x:c r="J153" s="30" t="n">
        <x:v>120</x:v>
      </x:c>
      <x:c r="K153" s="30" t="str">
        <x:v>猪里脊120g</x:v>
      </x:c>
      <x:c r="L153" s="76" t="b">
        <x:v>1</x:v>
      </x:c>
      <x:c r="M153" s="30" t="str">
        <x:v>已按MDT确认的Ingredient Master min/max/step执行化；执行量变化后必须重算营养。</x:v>
      </x:c>
      <x:c r="N153" s="30" t="n">
        <x:v>120</x:v>
      </x:c>
    </x:row>
    <x:row r="154">
      <x:c r="A154" s="30" t="str">
        <x:v>P006</x:v>
      </x:c>
      <x:c r="B154" s="30" t="str">
        <x:v>芹菜木耳里脊</x:v>
      </x:c>
      <x:c r="C154" s="30" t="str">
        <x:v>LINEAR_WITH_EXECUTION_ROUNDING</x:v>
      </x:c>
      <x:c r="D154" s="30" t="n">
        <x:v>1.5</x:v>
      </x:c>
      <x:c r="E154" s="30" t="str">
        <x:v>芹菜</x:v>
      </x:c>
      <x:c r="F154" s="30" t="n">
        <x:v>100</x:v>
      </x:c>
      <x:c r="G154" s="30" t="str">
        <x:v>g</x:v>
      </x:c>
      <x:c r="H154" s="30" t="str">
        <x:v>raw_edible_weight</x:v>
      </x:c>
      <x:c r="I154" s="30" t="n">
        <x:v>10</x:v>
      </x:c>
      <x:c r="J154" s="30" t="n">
        <x:v>150</x:v>
      </x:c>
      <x:c r="K154" s="30" t="str">
        <x:v>芹菜150g</x:v>
      </x:c>
      <x:c r="L154" s="76" t="b">
        <x:v>1</x:v>
      </x:c>
      <x:c r="M154" s="30" t="str">
        <x:v>已按MDT确认的Ingredient Master min/max/step执行化；执行量变化后必须重算营养。</x:v>
      </x:c>
      <x:c r="N154" s="30" t="n">
        <x:v>150</x:v>
      </x:c>
    </x:row>
    <x:row r="155">
      <x:c r="A155" s="30" t="str">
        <x:v>P006</x:v>
      </x:c>
      <x:c r="B155" s="30" t="str">
        <x:v>芹菜木耳里脊</x:v>
      </x:c>
      <x:c r="C155" s="30" t="str">
        <x:v>LINEAR_WITH_EXECUTION_ROUNDING</x:v>
      </x:c>
      <x:c r="D155" s="30" t="n">
        <x:v>1.5</x:v>
      </x:c>
      <x:c r="E155" s="30" t="str">
        <x:v>木耳鲜</x:v>
      </x:c>
      <x:c r="F155" s="30" t="n">
        <x:v>50</x:v>
      </x:c>
      <x:c r="G155" s="30" t="str">
        <x:v>g</x:v>
      </x:c>
      <x:c r="H155" s="30" t="str">
        <x:v>raw_edible_weight</x:v>
      </x:c>
      <x:c r="I155" s="30" t="n">
        <x:v>10</x:v>
      </x:c>
      <x:c r="J155" s="30" t="n">
        <x:v>75</x:v>
      </x:c>
      <x:c r="K155" s="30" t="str">
        <x:v>木耳鲜80g</x:v>
      </x:c>
      <x:c r="L155" s="76" t="b">
        <x:v>1</x:v>
      </x:c>
      <x:c r="M155" s="30" t="str">
        <x:v>已按MDT确认的Ingredient Master min/max/step执行化；执行量变化后必须重算营养。</x:v>
      </x:c>
      <x:c r="N155" s="30" t="n">
        <x:v>80</x:v>
      </x:c>
    </x:row>
    <x:row r="156">
      <x:c r="A156" s="30" t="str">
        <x:v>P006</x:v>
      </x:c>
      <x:c r="B156" s="30" t="str">
        <x:v>芹菜木耳里脊</x:v>
      </x:c>
      <x:c r="C156" s="30" t="str">
        <x:v>LINEAR_WITH_EXECUTION_ROUNDING</x:v>
      </x:c>
      <x:c r="D156" s="30" t="n">
        <x:v>1.5</x:v>
      </x:c>
      <x:c r="E156" s="30" t="str">
        <x:v>植物油</x:v>
      </x:c>
      <x:c r="F156" s="30" t="n">
        <x:v>5</x:v>
      </x:c>
      <x:c r="G156" s="30" t="str">
        <x:v>g</x:v>
      </x:c>
      <x:c r="H156" s="30" t="str">
        <x:v>added_weight</x:v>
      </x:c>
      <x:c r="I156" s="30" t="n">
        <x:v>1</x:v>
      </x:c>
      <x:c r="J156" s="30" t="n">
        <x:v>7.5</x:v>
      </x:c>
      <x:c r="K156" s="30" t="str">
        <x:v>植物油8g</x:v>
      </x:c>
      <x:c r="L156" s="76" t="b">
        <x:v>1</x:v>
      </x:c>
      <x:c r="M156" s="30" t="str">
        <x:v>已按MDT确认的Ingredient Master min/max/step执行化；执行量变化后必须重算营养。</x:v>
      </x:c>
      <x:c r="N156" s="30" t="n">
        <x:v>8</x:v>
      </x:c>
    </x:row>
    <x:row r="157">
      <x:c r="A157" s="30" t="str">
        <x:v>P007</x:v>
      </x:c>
      <x:c r="B157" s="30" t="str">
        <x:v>虾仁蒸蛋</x:v>
      </x:c>
      <x:c r="C157" s="30" t="str">
        <x:v>FIXED_COMPOSITE_NO_DIRECT_SCALING</x:v>
      </x:c>
      <x:c r="D157" s="30" t="n">
        <x:v>0.5</x:v>
      </x:c>
      <x:c r="E157" s="30"/>
      <x:c r="F157" s="30"/>
      <x:c r="G157" s="30"/>
      <x:c r="H157" s="30"/>
      <x:c r="I157" s="30"/>
      <x:c r="J157" s="30"/>
      <x:c r="K157" s="30" t="str">
        <x:v>该档位不允许整组件直接缩放</x:v>
      </x:c>
      <x:c r="L157" s="76" t="b">
        <x:v>0</x:v>
      </x:c>
      <x:c r="M157" s="30" t="str">
        <x:v>改用其他标准组件或拆分为单食物对象后重算；禁止患者端显示该份数。</x:v>
      </x:c>
      <x:c r="N157" s="30" t="str">
        <x:f>IF(OR(J157="",I157=""),"",ROUND(J157/I157,0)*I157)</x:f>
      </x:c>
    </x:row>
    <x:row r="158">
      <x:c r="A158" s="30" t="str">
        <x:v>P007</x:v>
      </x:c>
      <x:c r="B158" s="30" t="str">
        <x:v>虾仁蒸蛋</x:v>
      </x:c>
      <x:c r="C158" s="30" t="str">
        <x:v>FIXED_COMPOSITE_NO_DIRECT_SCALING</x:v>
      </x:c>
      <x:c r="D158" s="30" t="n">
        <x:v>0.75</x:v>
      </x:c>
      <x:c r="E158" s="30"/>
      <x:c r="F158" s="30"/>
      <x:c r="G158" s="30"/>
      <x:c r="H158" s="30"/>
      <x:c r="I158" s="30"/>
      <x:c r="J158" s="30"/>
      <x:c r="K158" s="30" t="str">
        <x:v>该档位不允许整组件直接缩放</x:v>
      </x:c>
      <x:c r="L158" s="76" t="b">
        <x:v>0</x:v>
      </x:c>
      <x:c r="M158" s="30" t="str">
        <x:v>改用其他标准组件或拆分为单食物对象后重算；禁止患者端显示该份数。</x:v>
      </x:c>
      <x:c r="N158" s="30" t="str">
        <x:f>IF(OR(J158="",I158=""),"",ROUND(J158/I158,0)*I158)</x:f>
      </x:c>
    </x:row>
    <x:row r="159">
      <x:c r="A159" s="30" t="str">
        <x:v>P007</x:v>
      </x:c>
      <x:c r="B159" s="30" t="str">
        <x:v>虾仁蒸蛋</x:v>
      </x:c>
      <x:c r="C159" s="30" t="str">
        <x:v>FIXED_COMPOSITE_NO_DIRECT_SCALING</x:v>
      </x:c>
      <x:c r="D159" s="30" t="n">
        <x:v>1</x:v>
      </x:c>
      <x:c r="E159" s="30" t="str">
        <x:v>虾仁</x:v>
      </x:c>
      <x:c r="F159" s="30" t="n">
        <x:v>60</x:v>
      </x:c>
      <x:c r="G159" s="30" t="str">
        <x:v>g</x:v>
      </x:c>
      <x:c r="H159" s="30" t="str">
        <x:v>raw_edible_weight</x:v>
      </x:c>
      <x:c r="I159" s="30" t="n">
        <x:v>5</x:v>
      </x:c>
      <x:c r="J159" s="30" t="n">
        <x:v>60</x:v>
      </x:c>
      <x:c r="K159" s="30" t="str">
        <x:v>虾仁60g</x:v>
      </x:c>
      <x:c r="L159" s="76" t="b">
        <x:v>1</x:v>
      </x:c>
      <x:c r="M159" s="30" t="str">
        <x:v>已按MDT确认的Ingredient Master min/max/step执行化；执行量变化后必须重算营养。</x:v>
      </x:c>
      <x:c r="N159" s="30" t="n">
        <x:v>60</x:v>
      </x:c>
    </x:row>
    <x:row r="160">
      <x:c r="A160" s="30" t="str">
        <x:v>P007</x:v>
      </x:c>
      <x:c r="B160" s="30" t="str">
        <x:v>虾仁蒸蛋</x:v>
      </x:c>
      <x:c r="C160" s="30" t="str">
        <x:v>FIXED_COMPOSITE_NO_DIRECT_SCALING</x:v>
      </x:c>
      <x:c r="D160" s="30" t="n">
        <x:v>1</x:v>
      </x:c>
      <x:c r="E160" s="30" t="str">
        <x:v>鸡蛋</x:v>
      </x:c>
      <x:c r="F160" s="30" t="n">
        <x:v>50</x:v>
      </x:c>
      <x:c r="G160" s="30" t="str">
        <x:v>g</x:v>
      </x:c>
      <x:c r="H160" s="30" t="str">
        <x:v>whole_unit + edible_weight</x:v>
      </x:c>
      <x:c r="I160" s="30" t="n">
        <x:v>50</x:v>
      </x:c>
      <x:c r="J160" s="30" t="n">
        <x:v>50</x:v>
      </x:c>
      <x:c r="K160" s="30" t="str">
        <x:v>鸡蛋1个（约50g可食部）</x:v>
      </x:c>
      <x:c r="L160" s="76" t="b">
        <x:v>1</x:v>
      </x:c>
      <x:c r="M160" s="30" t="str">
        <x:v>已按MDT确认的Ingredient Master min/max/step执行化；执行量变化后必须重算营养。</x:v>
      </x:c>
      <x:c r="N160" s="30" t="n">
        <x:v>50</x:v>
      </x:c>
    </x:row>
    <x:row r="161">
      <x:c r="A161" s="30" t="str">
        <x:v>P007</x:v>
      </x:c>
      <x:c r="B161" s="30" t="str">
        <x:v>虾仁蒸蛋</x:v>
      </x:c>
      <x:c r="C161" s="30" t="str">
        <x:v>FIXED_COMPOSITE_NO_DIRECT_SCALING</x:v>
      </x:c>
      <x:c r="D161" s="30" t="n">
        <x:v>1</x:v>
      </x:c>
      <x:c r="E161" s="30" t="str">
        <x:v>植物油</x:v>
      </x:c>
      <x:c r="F161" s="30" t="n">
        <x:v>2</x:v>
      </x:c>
      <x:c r="G161" s="30" t="str">
        <x:v>g</x:v>
      </x:c>
      <x:c r="H161" s="30" t="str">
        <x:v>added_weight</x:v>
      </x:c>
      <x:c r="I161" s="30" t="n">
        <x:v>1</x:v>
      </x:c>
      <x:c r="J161" s="30" t="n">
        <x:v>2</x:v>
      </x:c>
      <x:c r="K161" s="30" t="str">
        <x:v>植物油2g</x:v>
      </x:c>
      <x:c r="L161" s="76" t="b">
        <x:v>1</x:v>
      </x:c>
      <x:c r="M161" s="30" t="str">
        <x:v>已按MDT确认的Ingredient Master min/max/step执行化；执行量变化后必须重算营养。</x:v>
      </x:c>
      <x:c r="N161" s="30" t="n">
        <x:v>2</x:v>
      </x:c>
    </x:row>
    <x:row r="162">
      <x:c r="A162" s="30" t="str">
        <x:v>P007</x:v>
      </x:c>
      <x:c r="B162" s="30" t="str">
        <x:v>虾仁蒸蛋</x:v>
      </x:c>
      <x:c r="C162" s="30" t="str">
        <x:v>FIXED_COMPOSITE_NO_DIRECT_SCALING</x:v>
      </x:c>
      <x:c r="D162" s="30" t="n">
        <x:v>1.25</x:v>
      </x:c>
      <x:c r="E162" s="30"/>
      <x:c r="F162" s="30"/>
      <x:c r="G162" s="30"/>
      <x:c r="H162" s="30"/>
      <x:c r="I162" s="30"/>
      <x:c r="J162" s="30"/>
      <x:c r="K162" s="30" t="str">
        <x:v>该档位不允许整组件直接缩放</x:v>
      </x:c>
      <x:c r="L162" s="76" t="b">
        <x:v>0</x:v>
      </x:c>
      <x:c r="M162" s="30" t="str">
        <x:v>改用其他标准组件或拆分为单食物对象后重算；禁止患者端显示该份数。</x:v>
      </x:c>
      <x:c r="N162" s="30" t="str">
        <x:f>IF(OR(J162="",I162=""),"",ROUND(J162/I162,0)*I162)</x:f>
      </x:c>
    </x:row>
    <x:row r="163">
      <x:c r="A163" s="30" t="str">
        <x:v>P007</x:v>
      </x:c>
      <x:c r="B163" s="30" t="str">
        <x:v>虾仁蒸蛋</x:v>
      </x:c>
      <x:c r="C163" s="30" t="str">
        <x:v>FIXED_COMPOSITE_NO_DIRECT_SCALING</x:v>
      </x:c>
      <x:c r="D163" s="30" t="n">
        <x:v>1.5</x:v>
      </x:c>
      <x:c r="E163" s="30"/>
      <x:c r="F163" s="30"/>
      <x:c r="G163" s="30"/>
      <x:c r="H163" s="30"/>
      <x:c r="I163" s="30"/>
      <x:c r="J163" s="30"/>
      <x:c r="K163" s="30" t="str">
        <x:v>该档位不允许整组件直接缩放</x:v>
      </x:c>
      <x:c r="L163" s="76" t="b">
        <x:v>0</x:v>
      </x:c>
      <x:c r="M163" s="30" t="str">
        <x:v>改用其他标准组件或拆分为单食物对象后重算；禁止患者端显示该份数。</x:v>
      </x:c>
      <x:c r="N163" s="30" t="str">
        <x:f>IF(OR(J163="",I163=""),"",ROUND(J163/I163,0)*I163)</x:f>
      </x:c>
    </x:row>
    <x:row r="164">
      <x:c r="A164" s="30" t="str">
        <x:v>P008</x:v>
      </x:c>
      <x:c r="B164" s="30" t="str">
        <x:v>香菇烧北豆腐</x:v>
      </x:c>
      <x:c r="C164" s="30" t="str">
        <x:v>LINEAR_WITH_EXECUTION_ROUNDING</x:v>
      </x:c>
      <x:c r="D164" s="30" t="n">
        <x:v>0.5</x:v>
      </x:c>
      <x:c r="E164" s="30" t="str">
        <x:v>北豆腐</x:v>
      </x:c>
      <x:c r="F164" s="30" t="n">
        <x:v>150</x:v>
      </x:c>
      <x:c r="G164" s="30" t="str">
        <x:v>g</x:v>
      </x:c>
      <x:c r="H164" s="30" t="str">
        <x:v>raw_edible_weight</x:v>
      </x:c>
      <x:c r="I164" s="30" t="n">
        <x:v>10</x:v>
      </x:c>
      <x:c r="J164" s="30" t="n">
        <x:v>75</x:v>
      </x:c>
      <x:c r="K164" s="30" t="str">
        <x:v>北豆腐80g</x:v>
      </x:c>
      <x:c r="L164" s="76" t="b">
        <x:v>1</x:v>
      </x:c>
      <x:c r="M164" s="30" t="str">
        <x:v>已按MDT确认的Ingredient Master min/max/step执行化；执行量变化后必须重算营养。</x:v>
      </x:c>
      <x:c r="N164" s="30" t="n">
        <x:v>80</x:v>
      </x:c>
    </x:row>
    <x:row r="165">
      <x:c r="A165" s="30" t="str">
        <x:v>P008</x:v>
      </x:c>
      <x:c r="B165" s="30" t="str">
        <x:v>香菇烧北豆腐</x:v>
      </x:c>
      <x:c r="C165" s="30" t="str">
        <x:v>LINEAR_WITH_EXECUTION_ROUNDING</x:v>
      </x:c>
      <x:c r="D165" s="30" t="n">
        <x:v>0.5</x:v>
      </x:c>
      <x:c r="E165" s="30" t="str">
        <x:v>香菇鲜</x:v>
      </x:c>
      <x:c r="F165" s="30" t="n">
        <x:v>80</x:v>
      </x:c>
      <x:c r="G165" s="30" t="str">
        <x:v>g</x:v>
      </x:c>
      <x:c r="H165" s="30" t="str">
        <x:v>raw_edible_weight</x:v>
      </x:c>
      <x:c r="I165" s="30" t="n">
        <x:v>10</x:v>
      </x:c>
      <x:c r="J165" s="30" t="n">
        <x:v>40</x:v>
      </x:c>
      <x:c r="K165" s="30" t="str">
        <x:v>香菇鲜40g</x:v>
      </x:c>
      <x:c r="L165" s="76" t="b">
        <x:v>1</x:v>
      </x:c>
      <x:c r="M165" s="30" t="str">
        <x:v>已按MDT确认的Ingredient Master min/max/step执行化；执行量变化后必须重算营养。</x:v>
      </x:c>
      <x:c r="N165" s="30" t="n">
        <x:v>40</x:v>
      </x:c>
    </x:row>
    <x:row r="166">
      <x:c r="A166" s="30" t="str">
        <x:v>P008</x:v>
      </x:c>
      <x:c r="B166" s="30" t="str">
        <x:v>香菇烧北豆腐</x:v>
      </x:c>
      <x:c r="C166" s="30" t="str">
        <x:v>LINEAR_WITH_EXECUTION_ROUNDING</x:v>
      </x:c>
      <x:c r="D166" s="30" t="n">
        <x:v>0.5</x:v>
      </x:c>
      <x:c r="E166" s="30" t="str">
        <x:v>植物油</x:v>
      </x:c>
      <x:c r="F166" s="30" t="n">
        <x:v>5</x:v>
      </x:c>
      <x:c r="G166" s="30" t="str">
        <x:v>g</x:v>
      </x:c>
      <x:c r="H166" s="30" t="str">
        <x:v>added_weight</x:v>
      </x:c>
      <x:c r="I166" s="30" t="n">
        <x:v>1</x:v>
      </x:c>
      <x:c r="J166" s="30" t="n">
        <x:v>2.5</x:v>
      </x:c>
      <x:c r="K166" s="30" t="str">
        <x:v>植物油3g</x:v>
      </x:c>
      <x:c r="L166" s="76" t="b">
        <x:v>1</x:v>
      </x:c>
      <x:c r="M166" s="30" t="str">
        <x:v>已按MDT确认的Ingredient Master min/max/step执行化；执行量变化后必须重算营养。</x:v>
      </x:c>
      <x:c r="N166" s="30" t="n">
        <x:v>3</x:v>
      </x:c>
    </x:row>
    <x:row r="167">
      <x:c r="A167" s="30" t="str">
        <x:v>P008</x:v>
      </x:c>
      <x:c r="B167" s="30" t="str">
        <x:v>香菇烧北豆腐</x:v>
      </x:c>
      <x:c r="C167" s="30" t="str">
        <x:v>LINEAR_WITH_EXECUTION_ROUNDING</x:v>
      </x:c>
      <x:c r="D167" s="30" t="n">
        <x:v>0.75</x:v>
      </x:c>
      <x:c r="E167" s="30" t="str">
        <x:v>北豆腐</x:v>
      </x:c>
      <x:c r="F167" s="30" t="n">
        <x:v>150</x:v>
      </x:c>
      <x:c r="G167" s="30" t="str">
        <x:v>g</x:v>
      </x:c>
      <x:c r="H167" s="30" t="str">
        <x:v>raw_edible_weight</x:v>
      </x:c>
      <x:c r="I167" s="30" t="n">
        <x:v>10</x:v>
      </x:c>
      <x:c r="J167" s="30" t="n">
        <x:v>112.5</x:v>
      </x:c>
      <x:c r="K167" s="30" t="str">
        <x:v>北豆腐110g</x:v>
      </x:c>
      <x:c r="L167" s="76" t="b">
        <x:v>1</x:v>
      </x:c>
      <x:c r="M167" s="30" t="str">
        <x:v>已按MDT确认的Ingredient Master min/max/step执行化；执行量变化后必须重算营养。</x:v>
      </x:c>
      <x:c r="N167" s="30" t="n">
        <x:v>110</x:v>
      </x:c>
    </x:row>
    <x:row r="168">
      <x:c r="A168" s="30" t="str">
        <x:v>P008</x:v>
      </x:c>
      <x:c r="B168" s="30" t="str">
        <x:v>香菇烧北豆腐</x:v>
      </x:c>
      <x:c r="C168" s="30" t="str">
        <x:v>LINEAR_WITH_EXECUTION_ROUNDING</x:v>
      </x:c>
      <x:c r="D168" s="30" t="n">
        <x:v>0.75</x:v>
      </x:c>
      <x:c r="E168" s="30" t="str">
        <x:v>香菇鲜</x:v>
      </x:c>
      <x:c r="F168" s="30" t="n">
        <x:v>80</x:v>
      </x:c>
      <x:c r="G168" s="30" t="str">
        <x:v>g</x:v>
      </x:c>
      <x:c r="H168" s="30" t="str">
        <x:v>raw_edible_weight</x:v>
      </x:c>
      <x:c r="I168" s="30" t="n">
        <x:v>10</x:v>
      </x:c>
      <x:c r="J168" s="30" t="n">
        <x:v>60</x:v>
      </x:c>
      <x:c r="K168" s="30" t="str">
        <x:v>香菇鲜60g</x:v>
      </x:c>
      <x:c r="L168" s="76" t="b">
        <x:v>1</x:v>
      </x:c>
      <x:c r="M168" s="30" t="str">
        <x:v>已按MDT确认的Ingredient Master min/max/step执行化；执行量变化后必须重算营养。</x:v>
      </x:c>
      <x:c r="N168" s="30" t="n">
        <x:v>60</x:v>
      </x:c>
    </x:row>
    <x:row r="169">
      <x:c r="A169" s="30" t="str">
        <x:v>P008</x:v>
      </x:c>
      <x:c r="B169" s="30" t="str">
        <x:v>香菇烧北豆腐</x:v>
      </x:c>
      <x:c r="C169" s="30" t="str">
        <x:v>LINEAR_WITH_EXECUTION_ROUNDING</x:v>
      </x:c>
      <x:c r="D169" s="30" t="n">
        <x:v>0.75</x:v>
      </x:c>
      <x:c r="E169" s="30" t="str">
        <x:v>植物油</x:v>
      </x:c>
      <x:c r="F169" s="30" t="n">
        <x:v>5</x:v>
      </x:c>
      <x:c r="G169" s="30" t="str">
        <x:v>g</x:v>
      </x:c>
      <x:c r="H169" s="30" t="str">
        <x:v>added_weight</x:v>
      </x:c>
      <x:c r="I169" s="30" t="n">
        <x:v>1</x:v>
      </x:c>
      <x:c r="J169" s="30" t="n">
        <x:v>3.75</x:v>
      </x:c>
      <x:c r="K169" s="30" t="str">
        <x:v>植物油4g</x:v>
      </x:c>
      <x:c r="L169" s="76" t="b">
        <x:v>1</x:v>
      </x:c>
      <x:c r="M169" s="30" t="str">
        <x:v>已按MDT确认的Ingredient Master min/max/step执行化；执行量变化后必须重算营养。</x:v>
      </x:c>
      <x:c r="N169" s="30" t="n">
        <x:v>4</x:v>
      </x:c>
    </x:row>
    <x:row r="170">
      <x:c r="A170" s="30" t="str">
        <x:v>P008</x:v>
      </x:c>
      <x:c r="B170" s="30" t="str">
        <x:v>香菇烧北豆腐</x:v>
      </x:c>
      <x:c r="C170" s="30" t="str">
        <x:v>LINEAR_WITH_EXECUTION_ROUNDING</x:v>
      </x:c>
      <x:c r="D170" s="30" t="n">
        <x:v>1</x:v>
      </x:c>
      <x:c r="E170" s="30" t="str">
        <x:v>北豆腐</x:v>
      </x:c>
      <x:c r="F170" s="30" t="n">
        <x:v>150</x:v>
      </x:c>
      <x:c r="G170" s="30" t="str">
        <x:v>g</x:v>
      </x:c>
      <x:c r="H170" s="30" t="str">
        <x:v>raw_edible_weight</x:v>
      </x:c>
      <x:c r="I170" s="30" t="n">
        <x:v>10</x:v>
      </x:c>
      <x:c r="J170" s="30" t="n">
        <x:v>150</x:v>
      </x:c>
      <x:c r="K170" s="30" t="str">
        <x:v>北豆腐150g</x:v>
      </x:c>
      <x:c r="L170" s="76" t="b">
        <x:v>1</x:v>
      </x:c>
      <x:c r="M170" s="30" t="str">
        <x:v>已按MDT确认的Ingredient Master min/max/step执行化；执行量变化后必须重算营养。</x:v>
      </x:c>
      <x:c r="N170" s="30" t="n">
        <x:v>150</x:v>
      </x:c>
    </x:row>
    <x:row r="171">
      <x:c r="A171" s="30" t="str">
        <x:v>P008</x:v>
      </x:c>
      <x:c r="B171" s="30" t="str">
        <x:v>香菇烧北豆腐</x:v>
      </x:c>
      <x:c r="C171" s="30" t="str">
        <x:v>LINEAR_WITH_EXECUTION_ROUNDING</x:v>
      </x:c>
      <x:c r="D171" s="30" t="n">
        <x:v>1</x:v>
      </x:c>
      <x:c r="E171" s="30" t="str">
        <x:v>香菇鲜</x:v>
      </x:c>
      <x:c r="F171" s="30" t="n">
        <x:v>80</x:v>
      </x:c>
      <x:c r="G171" s="30" t="str">
        <x:v>g</x:v>
      </x:c>
      <x:c r="H171" s="30" t="str">
        <x:v>raw_edible_weight</x:v>
      </x:c>
      <x:c r="I171" s="30" t="n">
        <x:v>10</x:v>
      </x:c>
      <x:c r="J171" s="30" t="n">
        <x:v>80</x:v>
      </x:c>
      <x:c r="K171" s="30" t="str">
        <x:v>香菇鲜80g</x:v>
      </x:c>
      <x:c r="L171" s="76" t="b">
        <x:v>1</x:v>
      </x:c>
      <x:c r="M171" s="30" t="str">
        <x:v>已按MDT确认的Ingredient Master min/max/step执行化；执行量变化后必须重算营养。</x:v>
      </x:c>
      <x:c r="N171" s="30" t="n">
        <x:v>80</x:v>
      </x:c>
    </x:row>
    <x:row r="172">
      <x:c r="A172" s="30" t="str">
        <x:v>P008</x:v>
      </x:c>
      <x:c r="B172" s="30" t="str">
        <x:v>香菇烧北豆腐</x:v>
      </x:c>
      <x:c r="C172" s="30" t="str">
        <x:v>LINEAR_WITH_EXECUTION_ROUNDING</x:v>
      </x:c>
      <x:c r="D172" s="30" t="n">
        <x:v>1</x:v>
      </x:c>
      <x:c r="E172" s="30" t="str">
        <x:v>植物油</x:v>
      </x:c>
      <x:c r="F172" s="30" t="n">
        <x:v>5</x:v>
      </x:c>
      <x:c r="G172" s="30" t="str">
        <x:v>g</x:v>
      </x:c>
      <x:c r="H172" s="30" t="str">
        <x:v>added_weight</x:v>
      </x:c>
      <x:c r="I172" s="30" t="n">
        <x:v>1</x:v>
      </x:c>
      <x:c r="J172" s="30" t="n">
        <x:v>5</x:v>
      </x:c>
      <x:c r="K172" s="30" t="str">
        <x:v>植物油5g</x:v>
      </x:c>
      <x:c r="L172" s="76" t="b">
        <x:v>1</x:v>
      </x:c>
      <x:c r="M172" s="30" t="str">
        <x:v>已按MDT确认的Ingredient Master min/max/step执行化；执行量变化后必须重算营养。</x:v>
      </x:c>
      <x:c r="N172" s="30" t="n">
        <x:v>5</x:v>
      </x:c>
    </x:row>
    <x:row r="173">
      <x:c r="A173" s="30" t="str">
        <x:v>P008</x:v>
      </x:c>
      <x:c r="B173" s="30" t="str">
        <x:v>香菇烧北豆腐</x:v>
      </x:c>
      <x:c r="C173" s="30" t="str">
        <x:v>LINEAR_WITH_EXECUTION_ROUNDING</x:v>
      </x:c>
      <x:c r="D173" s="30" t="n">
        <x:v>1.25</x:v>
      </x:c>
      <x:c r="E173" s="30" t="str">
        <x:v>北豆腐</x:v>
      </x:c>
      <x:c r="F173" s="30" t="n">
        <x:v>150</x:v>
      </x:c>
      <x:c r="G173" s="30" t="str">
        <x:v>g</x:v>
      </x:c>
      <x:c r="H173" s="30" t="str">
        <x:v>raw_edible_weight</x:v>
      </x:c>
      <x:c r="I173" s="30" t="n">
        <x:v>10</x:v>
      </x:c>
      <x:c r="J173" s="30" t="n">
        <x:v>187.5</x:v>
      </x:c>
      <x:c r="K173" s="30" t="str">
        <x:v>北豆腐190g</x:v>
      </x:c>
      <x:c r="L173" s="76" t="b">
        <x:v>1</x:v>
      </x:c>
      <x:c r="M173" s="30" t="str">
        <x:v>已按MDT确认的Ingredient Master min/max/step执行化；执行量变化后必须重算营养。</x:v>
      </x:c>
      <x:c r="N173" s="30" t="n">
        <x:v>190</x:v>
      </x:c>
    </x:row>
    <x:row r="174">
      <x:c r="A174" s="30" t="str">
        <x:v>P008</x:v>
      </x:c>
      <x:c r="B174" s="30" t="str">
        <x:v>香菇烧北豆腐</x:v>
      </x:c>
      <x:c r="C174" s="30" t="str">
        <x:v>LINEAR_WITH_EXECUTION_ROUNDING</x:v>
      </x:c>
      <x:c r="D174" s="30" t="n">
        <x:v>1.25</x:v>
      </x:c>
      <x:c r="E174" s="30" t="str">
        <x:v>香菇鲜</x:v>
      </x:c>
      <x:c r="F174" s="30" t="n">
        <x:v>80</x:v>
      </x:c>
      <x:c r="G174" s="30" t="str">
        <x:v>g</x:v>
      </x:c>
      <x:c r="H174" s="30" t="str">
        <x:v>raw_edible_weight</x:v>
      </x:c>
      <x:c r="I174" s="30" t="n">
        <x:v>10</x:v>
      </x:c>
      <x:c r="J174" s="30" t="n">
        <x:v>100</x:v>
      </x:c>
      <x:c r="K174" s="30" t="str">
        <x:v>香菇鲜100g</x:v>
      </x:c>
      <x:c r="L174" s="76" t="b">
        <x:v>1</x:v>
      </x:c>
      <x:c r="M174" s="30" t="str">
        <x:v>已按MDT确认的Ingredient Master min/max/step执行化；执行量变化后必须重算营养。</x:v>
      </x:c>
      <x:c r="N174" s="30" t="n">
        <x:v>100</x:v>
      </x:c>
    </x:row>
    <x:row r="175">
      <x:c r="A175" s="30" t="str">
        <x:v>P008</x:v>
      </x:c>
      <x:c r="B175" s="30" t="str">
        <x:v>香菇烧北豆腐</x:v>
      </x:c>
      <x:c r="C175" s="30" t="str">
        <x:v>LINEAR_WITH_EXECUTION_ROUNDING</x:v>
      </x:c>
      <x:c r="D175" s="30" t="n">
        <x:v>1.25</x:v>
      </x:c>
      <x:c r="E175" s="30" t="str">
        <x:v>植物油</x:v>
      </x:c>
      <x:c r="F175" s="30" t="n">
        <x:v>5</x:v>
      </x:c>
      <x:c r="G175" s="30" t="str">
        <x:v>g</x:v>
      </x:c>
      <x:c r="H175" s="30" t="str">
        <x:v>added_weight</x:v>
      </x:c>
      <x:c r="I175" s="30" t="n">
        <x:v>1</x:v>
      </x:c>
      <x:c r="J175" s="30" t="n">
        <x:v>6.25</x:v>
      </x:c>
      <x:c r="K175" s="30" t="str">
        <x:v>植物油6g</x:v>
      </x:c>
      <x:c r="L175" s="76" t="b">
        <x:v>1</x:v>
      </x:c>
      <x:c r="M175" s="30" t="str">
        <x:v>已按MDT确认的Ingredient Master min/max/step执行化；执行量变化后必须重算营养。</x:v>
      </x:c>
      <x:c r="N175" s="30" t="n">
        <x:v>6</x:v>
      </x:c>
    </x:row>
    <x:row r="176">
      <x:c r="A176" s="30" t="str">
        <x:v>P008</x:v>
      </x:c>
      <x:c r="B176" s="30" t="str">
        <x:v>香菇烧北豆腐</x:v>
      </x:c>
      <x:c r="C176" s="30" t="str">
        <x:v>LINEAR_WITH_EXECUTION_ROUNDING</x:v>
      </x:c>
      <x:c r="D176" s="30" t="n">
        <x:v>1.5</x:v>
      </x:c>
      <x:c r="E176" s="30" t="str">
        <x:v>北豆腐</x:v>
      </x:c>
      <x:c r="F176" s="30" t="n">
        <x:v>150</x:v>
      </x:c>
      <x:c r="G176" s="30" t="str">
        <x:v>g</x:v>
      </x:c>
      <x:c r="H176" s="30" t="str">
        <x:v>raw_edible_weight</x:v>
      </x:c>
      <x:c r="I176" s="30" t="n">
        <x:v>5</x:v>
      </x:c>
      <x:c r="J176" s="30" t="n">
        <x:v>225</x:v>
      </x:c>
      <x:c r="K176" s="30" t="str">
        <x:v>该scale超出Ingredient Master执行边界</x:v>
      </x:c>
      <x:c r="L176" s="76" t="b">
        <x:v>0</x:v>
      </x:c>
      <x:c r="M176" s="30" t="str">
        <x:v>禁止该scale；不得为保留统一0.5/0.75/1.25/1.5而突破基础食材边界。</x:v>
      </x:c>
      <x:c r="N176" s="30"/>
    </x:row>
    <x:row r="177">
      <x:c r="A177" s="30" t="str">
        <x:v>P008</x:v>
      </x:c>
      <x:c r="B177" s="30" t="str">
        <x:v>香菇烧北豆腐</x:v>
      </x:c>
      <x:c r="C177" s="30" t="str">
        <x:v>LINEAR_WITH_EXECUTION_ROUNDING</x:v>
      </x:c>
      <x:c r="D177" s="30" t="n">
        <x:v>1.5</x:v>
      </x:c>
      <x:c r="E177" s="30" t="str">
        <x:v>香菇鲜</x:v>
      </x:c>
      <x:c r="F177" s="30" t="n">
        <x:v>80</x:v>
      </x:c>
      <x:c r="G177" s="30" t="str">
        <x:v>g</x:v>
      </x:c>
      <x:c r="H177" s="30" t="str">
        <x:v>raw_edible_weight</x:v>
      </x:c>
      <x:c r="I177" s="30" t="n">
        <x:v>10</x:v>
      </x:c>
      <x:c r="J177" s="30" t="n">
        <x:v>120</x:v>
      </x:c>
      <x:c r="K177" s="30" t="str">
        <x:v>香菇鲜120g</x:v>
      </x:c>
      <x:c r="L177" s="76" t="b">
        <x:v>1</x:v>
      </x:c>
      <x:c r="M177" s="30" t="str">
        <x:v>已按MDT确认的Ingredient Master min/max/step执行化；执行量变化后必须重算营养。</x:v>
      </x:c>
      <x:c r="N177" s="30" t="n">
        <x:v>120</x:v>
      </x:c>
    </x:row>
    <x:row r="178">
      <x:c r="A178" s="30" t="str">
        <x:v>P008</x:v>
      </x:c>
      <x:c r="B178" s="30" t="str">
        <x:v>香菇烧北豆腐</x:v>
      </x:c>
      <x:c r="C178" s="30" t="str">
        <x:v>LINEAR_WITH_EXECUTION_ROUNDING</x:v>
      </x:c>
      <x:c r="D178" s="30" t="n">
        <x:v>1.5</x:v>
      </x:c>
      <x:c r="E178" s="30" t="str">
        <x:v>植物油</x:v>
      </x:c>
      <x:c r="F178" s="30" t="n">
        <x:v>5</x:v>
      </x:c>
      <x:c r="G178" s="30" t="str">
        <x:v>g</x:v>
      </x:c>
      <x:c r="H178" s="30" t="str">
        <x:v>added_weight</x:v>
      </x:c>
      <x:c r="I178" s="30" t="n">
        <x:v>1</x:v>
      </x:c>
      <x:c r="J178" s="30" t="n">
        <x:v>7.5</x:v>
      </x:c>
      <x:c r="K178" s="30" t="str">
        <x:v>植物油8g</x:v>
      </x:c>
      <x:c r="L178" s="76" t="b">
        <x:v>1</x:v>
      </x:c>
      <x:c r="M178" s="30" t="str">
        <x:v>已按MDT确认的Ingredient Master min/max/step执行化；执行量变化后必须重算营养。</x:v>
      </x:c>
      <x:c r="N178" s="30" t="n">
        <x:v>8</x:v>
      </x:c>
    </x:row>
    <x:row r="179">
      <x:c r="A179" s="30" t="str">
        <x:v>P009</x:v>
      </x:c>
      <x:c r="B179" s="30" t="str">
        <x:v>番茄炒蛋（少油版）</x:v>
      </x:c>
      <x:c r="C179" s="30" t="str">
        <x:v>DISCRETE_EGG_HALF_OR_FULL</x:v>
      </x:c>
      <x:c r="D179" s="30" t="n">
        <x:v>0.5</x:v>
      </x:c>
      <x:c r="E179" s="30" t="str">
        <x:v>鸡蛋</x:v>
      </x:c>
      <x:c r="F179" s="30" t="n">
        <x:v>100</x:v>
      </x:c>
      <x:c r="G179" s="30" t="str">
        <x:v>g</x:v>
      </x:c>
      <x:c r="H179" s="30" t="str">
        <x:v>whole_unit + edible_weight</x:v>
      </x:c>
      <x:c r="I179" s="30" t="n">
        <x:v>50</x:v>
      </x:c>
      <x:c r="J179" s="30" t="n">
        <x:v>50</x:v>
      </x:c>
      <x:c r="K179" s="30" t="str">
        <x:v>鸡蛋1个（约50g可食部）</x:v>
      </x:c>
      <x:c r="L179" s="76" t="b">
        <x:v>1</x:v>
      </x:c>
      <x:c r="M179" s="30" t="str">
        <x:v>已按MDT确认的Ingredient Master min/max/step执行化；执行量变化后必须重算营养。</x:v>
      </x:c>
      <x:c r="N179" s="30" t="n">
        <x:v>50</x:v>
      </x:c>
    </x:row>
    <x:row r="180">
      <x:c r="A180" s="30" t="str">
        <x:v>P009</x:v>
      </x:c>
      <x:c r="B180" s="30" t="str">
        <x:v>番茄炒蛋（少油版）</x:v>
      </x:c>
      <x:c r="C180" s="30" t="str">
        <x:v>DISCRETE_EGG_HALF_OR_FULL</x:v>
      </x:c>
      <x:c r="D180" s="30" t="n">
        <x:v>0.5</x:v>
      </x:c>
      <x:c r="E180" s="30" t="str">
        <x:v>番茄</x:v>
      </x:c>
      <x:c r="F180" s="30" t="n">
        <x:v>200</x:v>
      </x:c>
      <x:c r="G180" s="30" t="str">
        <x:v>g</x:v>
      </x:c>
      <x:c r="H180" s="30" t="str">
        <x:v>raw_edible_weight</x:v>
      </x:c>
      <x:c r="I180" s="30" t="n">
        <x:v>10</x:v>
      </x:c>
      <x:c r="J180" s="30" t="n">
        <x:v>100</x:v>
      </x:c>
      <x:c r="K180" s="30" t="str">
        <x:v>番茄100g</x:v>
      </x:c>
      <x:c r="L180" s="76" t="b">
        <x:v>1</x:v>
      </x:c>
      <x:c r="M180" s="30" t="str">
        <x:v>已按MDT确认的Ingredient Master min/max/step执行化；执行量变化后必须重算营养。</x:v>
      </x:c>
      <x:c r="N180" s="30" t="n">
        <x:v>100</x:v>
      </x:c>
    </x:row>
    <x:row r="181">
      <x:c r="A181" s="30" t="str">
        <x:v>P009</x:v>
      </x:c>
      <x:c r="B181" s="30" t="str">
        <x:v>番茄炒蛋（少油版）</x:v>
      </x:c>
      <x:c r="C181" s="30" t="str">
        <x:v>DISCRETE_EGG_HALF_OR_FULL</x:v>
      </x:c>
      <x:c r="D181" s="30" t="n">
        <x:v>0.5</x:v>
      </x:c>
      <x:c r="E181" s="30" t="str">
        <x:v>植物油</x:v>
      </x:c>
      <x:c r="F181" s="30" t="n">
        <x:v>5</x:v>
      </x:c>
      <x:c r="G181" s="30" t="str">
        <x:v>g</x:v>
      </x:c>
      <x:c r="H181" s="30" t="str">
        <x:v>added_weight</x:v>
      </x:c>
      <x:c r="I181" s="30" t="n">
        <x:v>1</x:v>
      </x:c>
      <x:c r="J181" s="30" t="n">
        <x:v>2.5</x:v>
      </x:c>
      <x:c r="K181" s="30" t="str">
        <x:v>植物油3g</x:v>
      </x:c>
      <x:c r="L181" s="76" t="b">
        <x:v>1</x:v>
      </x:c>
      <x:c r="M181" s="30" t="str">
        <x:v>已按MDT确认的Ingredient Master min/max/step执行化；执行量变化后必须重算营养。</x:v>
      </x:c>
      <x:c r="N181" s="30" t="n">
        <x:v>3</x:v>
      </x:c>
    </x:row>
    <x:row r="182">
      <x:c r="A182" s="30" t="str">
        <x:v>P009</x:v>
      </x:c>
      <x:c r="B182" s="30" t="str">
        <x:v>番茄炒蛋（少油版）</x:v>
      </x:c>
      <x:c r="C182" s="30" t="str">
        <x:v>DISCRETE_EGG_HALF_OR_FULL</x:v>
      </x:c>
      <x:c r="D182" s="30" t="n">
        <x:v>0.75</x:v>
      </x:c>
      <x:c r="E182" s="30"/>
      <x:c r="F182" s="30"/>
      <x:c r="G182" s="30"/>
      <x:c r="H182" s="30"/>
      <x:c r="I182" s="30"/>
      <x:c r="J182" s="30"/>
      <x:c r="K182" s="30" t="str">
        <x:v>该档位不允许整组件直接缩放</x:v>
      </x:c>
      <x:c r="L182" s="76" t="b">
        <x:v>0</x:v>
      </x:c>
      <x:c r="M182" s="30" t="str">
        <x:v>超出本组件候选执行边界。</x:v>
      </x:c>
      <x:c r="N182" s="30" t="str">
        <x:f>IF(OR(J182="",I182=""),"",ROUND(J182/I182,0)*I182)</x:f>
      </x:c>
    </x:row>
    <x:row r="183">
      <x:c r="A183" s="30" t="str">
        <x:v>P009</x:v>
      </x:c>
      <x:c r="B183" s="30" t="str">
        <x:v>番茄炒蛋（少油版）</x:v>
      </x:c>
      <x:c r="C183" s="30" t="str">
        <x:v>DISCRETE_EGG_HALF_OR_FULL</x:v>
      </x:c>
      <x:c r="D183" s="30" t="n">
        <x:v>1</x:v>
      </x:c>
      <x:c r="E183" s="30" t="str">
        <x:v>鸡蛋</x:v>
      </x:c>
      <x:c r="F183" s="30" t="n">
        <x:v>100</x:v>
      </x:c>
      <x:c r="G183" s="30" t="str">
        <x:v>g</x:v>
      </x:c>
      <x:c r="H183" s="30" t="str">
        <x:v>whole_unit + edible_weight</x:v>
      </x:c>
      <x:c r="I183" s="30" t="n">
        <x:v>50</x:v>
      </x:c>
      <x:c r="J183" s="30" t="n">
        <x:v>100</x:v>
      </x:c>
      <x:c r="K183" s="30" t="str">
        <x:v>鸡蛋2个（约100g可食部）</x:v>
      </x:c>
      <x:c r="L183" s="76" t="b">
        <x:v>1</x:v>
      </x:c>
      <x:c r="M183" s="30" t="str">
        <x:v>已按MDT确认的Ingredient Master min/max/step执行化；执行量变化后必须重算营养。</x:v>
      </x:c>
      <x:c r="N183" s="30" t="n">
        <x:v>100</x:v>
      </x:c>
    </x:row>
    <x:row r="184">
      <x:c r="A184" s="30" t="str">
        <x:v>P009</x:v>
      </x:c>
      <x:c r="B184" s="30" t="str">
        <x:v>番茄炒蛋（少油版）</x:v>
      </x:c>
      <x:c r="C184" s="30" t="str">
        <x:v>DISCRETE_EGG_HALF_OR_FULL</x:v>
      </x:c>
      <x:c r="D184" s="30" t="n">
        <x:v>1</x:v>
      </x:c>
      <x:c r="E184" s="30" t="str">
        <x:v>番茄</x:v>
      </x:c>
      <x:c r="F184" s="30" t="n">
        <x:v>200</x:v>
      </x:c>
      <x:c r="G184" s="30" t="str">
        <x:v>g</x:v>
      </x:c>
      <x:c r="H184" s="30" t="str">
        <x:v>raw_edible_weight</x:v>
      </x:c>
      <x:c r="I184" s="30" t="n">
        <x:v>10</x:v>
      </x:c>
      <x:c r="J184" s="30" t="n">
        <x:v>200</x:v>
      </x:c>
      <x:c r="K184" s="30" t="str">
        <x:v>番茄200g</x:v>
      </x:c>
      <x:c r="L184" s="76" t="b">
        <x:v>1</x:v>
      </x:c>
      <x:c r="M184" s="30" t="str">
        <x:v>已按MDT确认的Ingredient Master min/max/step执行化；执行量变化后必须重算营养。</x:v>
      </x:c>
      <x:c r="N184" s="30" t="n">
        <x:v>200</x:v>
      </x:c>
    </x:row>
    <x:row r="185">
      <x:c r="A185" s="30" t="str">
        <x:v>P009</x:v>
      </x:c>
      <x:c r="B185" s="30" t="str">
        <x:v>番茄炒蛋（少油版）</x:v>
      </x:c>
      <x:c r="C185" s="30" t="str">
        <x:v>DISCRETE_EGG_HALF_OR_FULL</x:v>
      </x:c>
      <x:c r="D185" s="30" t="n">
        <x:v>1</x:v>
      </x:c>
      <x:c r="E185" s="30" t="str">
        <x:v>植物油</x:v>
      </x:c>
      <x:c r="F185" s="30" t="n">
        <x:v>5</x:v>
      </x:c>
      <x:c r="G185" s="30" t="str">
        <x:v>g</x:v>
      </x:c>
      <x:c r="H185" s="30" t="str">
        <x:v>added_weight</x:v>
      </x:c>
      <x:c r="I185" s="30" t="n">
        <x:v>1</x:v>
      </x:c>
      <x:c r="J185" s="30" t="n">
        <x:v>5</x:v>
      </x:c>
      <x:c r="K185" s="30" t="str">
        <x:v>植物油5g</x:v>
      </x:c>
      <x:c r="L185" s="76" t="b">
        <x:v>1</x:v>
      </x:c>
      <x:c r="M185" s="30" t="str">
        <x:v>已按MDT确认的Ingredient Master min/max/step执行化；执行量变化后必须重算营养。</x:v>
      </x:c>
      <x:c r="N185" s="30" t="n">
        <x:v>5</x:v>
      </x:c>
    </x:row>
    <x:row r="186">
      <x:c r="A186" s="30" t="str">
        <x:v>P009</x:v>
      </x:c>
      <x:c r="B186" s="30" t="str">
        <x:v>番茄炒蛋（少油版）</x:v>
      </x:c>
      <x:c r="C186" s="30" t="str">
        <x:v>DISCRETE_EGG_HALF_OR_FULL</x:v>
      </x:c>
      <x:c r="D186" s="30" t="n">
        <x:v>1.25</x:v>
      </x:c>
      <x:c r="E186" s="30"/>
      <x:c r="F186" s="30"/>
      <x:c r="G186" s="30"/>
      <x:c r="H186" s="30"/>
      <x:c r="I186" s="30"/>
      <x:c r="J186" s="30"/>
      <x:c r="K186" s="30" t="str">
        <x:v>该档位不允许整组件直接缩放</x:v>
      </x:c>
      <x:c r="L186" s="76" t="b">
        <x:v>0</x:v>
      </x:c>
      <x:c r="M186" s="30" t="str">
        <x:v>超出本组件候选执行边界。</x:v>
      </x:c>
      <x:c r="N186" s="30" t="str">
        <x:f>IF(OR(J186="",I186=""),"",ROUND(J186/I186,0)*I186)</x:f>
      </x:c>
    </x:row>
    <x:row r="187">
      <x:c r="A187" s="30" t="str">
        <x:v>P009</x:v>
      </x:c>
      <x:c r="B187" s="30" t="str">
        <x:v>番茄炒蛋（少油版）</x:v>
      </x:c>
      <x:c r="C187" s="30" t="str">
        <x:v>DISCRETE_EGG_HALF_OR_FULL</x:v>
      </x:c>
      <x:c r="D187" s="30" t="n">
        <x:v>1.5</x:v>
      </x:c>
      <x:c r="E187" s="30"/>
      <x:c r="F187" s="30"/>
      <x:c r="G187" s="30"/>
      <x:c r="H187" s="30"/>
      <x:c r="I187" s="30"/>
      <x:c r="J187" s="30"/>
      <x:c r="K187" s="30" t="str">
        <x:v>该档位不允许整组件直接缩放</x:v>
      </x:c>
      <x:c r="L187" s="76" t="b">
        <x:v>0</x:v>
      </x:c>
      <x:c r="M187" s="30" t="str">
        <x:v>超出本组件候选执行边界。</x:v>
      </x:c>
      <x:c r="N187" s="30" t="str">
        <x:f>IF(OR(J187="",I187=""),"",ROUND(J187/I187,0)*I187)</x:f>
      </x:c>
    </x:row>
    <x:row r="188">
      <x:c r="A188" s="30" t="str">
        <x:v>P010</x:v>
      </x:c>
      <x:c r="B188" s="30" t="str">
        <x:v>西兰花虾仁</x:v>
      </x:c>
      <x:c r="C188" s="30" t="str">
        <x:v>LINEAR_WITH_EXECUTION_ROUNDING</x:v>
      </x:c>
      <x:c r="D188" s="30" t="n">
        <x:v>0.5</x:v>
      </x:c>
      <x:c r="E188" s="30" t="str">
        <x:v>虾仁</x:v>
      </x:c>
      <x:c r="F188" s="30" t="n">
        <x:v>80</x:v>
      </x:c>
      <x:c r="G188" s="30" t="str">
        <x:v>g</x:v>
      </x:c>
      <x:c r="H188" s="30" t="str">
        <x:v>raw_edible_weight</x:v>
      </x:c>
      <x:c r="I188" s="30" t="n">
        <x:v>5</x:v>
      </x:c>
      <x:c r="J188" s="30" t="n">
        <x:v>40</x:v>
      </x:c>
      <x:c r="K188" s="30" t="str">
        <x:v>虾仁40g</x:v>
      </x:c>
      <x:c r="L188" s="76" t="b">
        <x:v>1</x:v>
      </x:c>
      <x:c r="M188" s="30" t="str">
        <x:v>已按MDT确认的Ingredient Master min/max/step执行化；执行量变化后必须重算营养。</x:v>
      </x:c>
      <x:c r="N188" s="30" t="n">
        <x:v>40</x:v>
      </x:c>
    </x:row>
    <x:row r="189">
      <x:c r="A189" s="30" t="str">
        <x:v>P010</x:v>
      </x:c>
      <x:c r="B189" s="30" t="str">
        <x:v>西兰花虾仁</x:v>
      </x:c>
      <x:c r="C189" s="30" t="str">
        <x:v>LINEAR_WITH_EXECUTION_ROUNDING</x:v>
      </x:c>
      <x:c r="D189" s="30" t="n">
        <x:v>0.5</x:v>
      </x:c>
      <x:c r="E189" s="30" t="str">
        <x:v>西兰花</x:v>
      </x:c>
      <x:c r="F189" s="30" t="n">
        <x:v>150</x:v>
      </x:c>
      <x:c r="G189" s="30" t="str">
        <x:v>g</x:v>
      </x:c>
      <x:c r="H189" s="30" t="str">
        <x:v>raw_edible_weight</x:v>
      </x:c>
      <x:c r="I189" s="30" t="n">
        <x:v>10</x:v>
      </x:c>
      <x:c r="J189" s="30" t="n">
        <x:v>75</x:v>
      </x:c>
      <x:c r="K189" s="30" t="str">
        <x:v>西兰花80g</x:v>
      </x:c>
      <x:c r="L189" s="76" t="b">
        <x:v>1</x:v>
      </x:c>
      <x:c r="M189" s="30" t="str">
        <x:v>已按MDT确认的Ingredient Master min/max/step执行化；执行量变化后必须重算营养。</x:v>
      </x:c>
      <x:c r="N189" s="30" t="n">
        <x:v>80</x:v>
      </x:c>
    </x:row>
    <x:row r="190">
      <x:c r="A190" s="30" t="str">
        <x:v>P010</x:v>
      </x:c>
      <x:c r="B190" s="30" t="str">
        <x:v>西兰花虾仁</x:v>
      </x:c>
      <x:c r="C190" s="30" t="str">
        <x:v>LINEAR_WITH_EXECUTION_ROUNDING</x:v>
      </x:c>
      <x:c r="D190" s="30" t="n">
        <x:v>0.5</x:v>
      </x:c>
      <x:c r="E190" s="30" t="str">
        <x:v>植物油</x:v>
      </x:c>
      <x:c r="F190" s="30" t="n">
        <x:v>5</x:v>
      </x:c>
      <x:c r="G190" s="30" t="str">
        <x:v>g</x:v>
      </x:c>
      <x:c r="H190" s="30" t="str">
        <x:v>added_weight</x:v>
      </x:c>
      <x:c r="I190" s="30" t="n">
        <x:v>1</x:v>
      </x:c>
      <x:c r="J190" s="30" t="n">
        <x:v>2.5</x:v>
      </x:c>
      <x:c r="K190" s="30" t="str">
        <x:v>植物油3g</x:v>
      </x:c>
      <x:c r="L190" s="76" t="b">
        <x:v>1</x:v>
      </x:c>
      <x:c r="M190" s="30" t="str">
        <x:v>已按MDT确认的Ingredient Master min/max/step执行化；执行量变化后必须重算营养。</x:v>
      </x:c>
      <x:c r="N190" s="30" t="n">
        <x:v>3</x:v>
      </x:c>
    </x:row>
    <x:row r="191">
      <x:c r="A191" s="30" t="str">
        <x:v>P010</x:v>
      </x:c>
      <x:c r="B191" s="30" t="str">
        <x:v>西兰花虾仁</x:v>
      </x:c>
      <x:c r="C191" s="30" t="str">
        <x:v>LINEAR_WITH_EXECUTION_ROUNDING</x:v>
      </x:c>
      <x:c r="D191" s="30" t="n">
        <x:v>0.75</x:v>
      </x:c>
      <x:c r="E191" s="30" t="str">
        <x:v>虾仁</x:v>
      </x:c>
      <x:c r="F191" s="30" t="n">
        <x:v>80</x:v>
      </x:c>
      <x:c r="G191" s="30" t="str">
        <x:v>g</x:v>
      </x:c>
      <x:c r="H191" s="30" t="str">
        <x:v>raw_edible_weight</x:v>
      </x:c>
      <x:c r="I191" s="30" t="n">
        <x:v>5</x:v>
      </x:c>
      <x:c r="J191" s="30" t="n">
        <x:v>60</x:v>
      </x:c>
      <x:c r="K191" s="30" t="str">
        <x:v>虾仁60g</x:v>
      </x:c>
      <x:c r="L191" s="76" t="b">
        <x:v>1</x:v>
      </x:c>
      <x:c r="M191" s="30" t="str">
        <x:v>已按MDT确认的Ingredient Master min/max/step执行化；执行量变化后必须重算营养。</x:v>
      </x:c>
      <x:c r="N191" s="30" t="n">
        <x:v>60</x:v>
      </x:c>
    </x:row>
    <x:row r="192">
      <x:c r="A192" s="30" t="str">
        <x:v>P010</x:v>
      </x:c>
      <x:c r="B192" s="30" t="str">
        <x:v>西兰花虾仁</x:v>
      </x:c>
      <x:c r="C192" s="30" t="str">
        <x:v>LINEAR_WITH_EXECUTION_ROUNDING</x:v>
      </x:c>
      <x:c r="D192" s="30" t="n">
        <x:v>0.75</x:v>
      </x:c>
      <x:c r="E192" s="30" t="str">
        <x:v>西兰花</x:v>
      </x:c>
      <x:c r="F192" s="30" t="n">
        <x:v>150</x:v>
      </x:c>
      <x:c r="G192" s="30" t="str">
        <x:v>g</x:v>
      </x:c>
      <x:c r="H192" s="30" t="str">
        <x:v>raw_edible_weight</x:v>
      </x:c>
      <x:c r="I192" s="30" t="n">
        <x:v>10</x:v>
      </x:c>
      <x:c r="J192" s="30" t="n">
        <x:v>112.5</x:v>
      </x:c>
      <x:c r="K192" s="30" t="str">
        <x:v>西兰花110g</x:v>
      </x:c>
      <x:c r="L192" s="76" t="b">
        <x:v>1</x:v>
      </x:c>
      <x:c r="M192" s="30" t="str">
        <x:v>已按MDT确认的Ingredient Master min/max/step执行化；执行量变化后必须重算营养。</x:v>
      </x:c>
      <x:c r="N192" s="30" t="n">
        <x:v>110</x:v>
      </x:c>
    </x:row>
    <x:row r="193">
      <x:c r="A193" s="30" t="str">
        <x:v>P010</x:v>
      </x:c>
      <x:c r="B193" s="30" t="str">
        <x:v>西兰花虾仁</x:v>
      </x:c>
      <x:c r="C193" s="30" t="str">
        <x:v>LINEAR_WITH_EXECUTION_ROUNDING</x:v>
      </x:c>
      <x:c r="D193" s="30" t="n">
        <x:v>0.75</x:v>
      </x:c>
      <x:c r="E193" s="30" t="str">
        <x:v>植物油</x:v>
      </x:c>
      <x:c r="F193" s="30" t="n">
        <x:v>5</x:v>
      </x:c>
      <x:c r="G193" s="30" t="str">
        <x:v>g</x:v>
      </x:c>
      <x:c r="H193" s="30" t="str">
        <x:v>added_weight</x:v>
      </x:c>
      <x:c r="I193" s="30" t="n">
        <x:v>1</x:v>
      </x:c>
      <x:c r="J193" s="30" t="n">
        <x:v>3.75</x:v>
      </x:c>
      <x:c r="K193" s="30" t="str">
        <x:v>植物油4g</x:v>
      </x:c>
      <x:c r="L193" s="76" t="b">
        <x:v>1</x:v>
      </x:c>
      <x:c r="M193" s="30" t="str">
        <x:v>已按MDT确认的Ingredient Master min/max/step执行化；执行量变化后必须重算营养。</x:v>
      </x:c>
      <x:c r="N193" s="30" t="n">
        <x:v>4</x:v>
      </x:c>
    </x:row>
    <x:row r="194">
      <x:c r="A194" s="30" t="str">
        <x:v>P010</x:v>
      </x:c>
      <x:c r="B194" s="30" t="str">
        <x:v>西兰花虾仁</x:v>
      </x:c>
      <x:c r="C194" s="30" t="str">
        <x:v>LINEAR_WITH_EXECUTION_ROUNDING</x:v>
      </x:c>
      <x:c r="D194" s="30" t="n">
        <x:v>1</x:v>
      </x:c>
      <x:c r="E194" s="30" t="str">
        <x:v>虾仁</x:v>
      </x:c>
      <x:c r="F194" s="30" t="n">
        <x:v>80</x:v>
      </x:c>
      <x:c r="G194" s="30" t="str">
        <x:v>g</x:v>
      </x:c>
      <x:c r="H194" s="30" t="str">
        <x:v>raw_edible_weight</x:v>
      </x:c>
      <x:c r="I194" s="30" t="n">
        <x:v>5</x:v>
      </x:c>
      <x:c r="J194" s="30" t="n">
        <x:v>80</x:v>
      </x:c>
      <x:c r="K194" s="30" t="str">
        <x:v>虾仁80g</x:v>
      </x:c>
      <x:c r="L194" s="76" t="b">
        <x:v>1</x:v>
      </x:c>
      <x:c r="M194" s="30" t="str">
        <x:v>已按MDT确认的Ingredient Master min/max/step执行化；执行量变化后必须重算营养。</x:v>
      </x:c>
      <x:c r="N194" s="30" t="n">
        <x:v>80</x:v>
      </x:c>
    </x:row>
    <x:row r="195">
      <x:c r="A195" s="30" t="str">
        <x:v>P010</x:v>
      </x:c>
      <x:c r="B195" s="30" t="str">
        <x:v>西兰花虾仁</x:v>
      </x:c>
      <x:c r="C195" s="30" t="str">
        <x:v>LINEAR_WITH_EXECUTION_ROUNDING</x:v>
      </x:c>
      <x:c r="D195" s="30" t="n">
        <x:v>1</x:v>
      </x:c>
      <x:c r="E195" s="30" t="str">
        <x:v>西兰花</x:v>
      </x:c>
      <x:c r="F195" s="30" t="n">
        <x:v>150</x:v>
      </x:c>
      <x:c r="G195" s="30" t="str">
        <x:v>g</x:v>
      </x:c>
      <x:c r="H195" s="30" t="str">
        <x:v>raw_edible_weight</x:v>
      </x:c>
      <x:c r="I195" s="30" t="n">
        <x:v>10</x:v>
      </x:c>
      <x:c r="J195" s="30" t="n">
        <x:v>150</x:v>
      </x:c>
      <x:c r="K195" s="30" t="str">
        <x:v>西兰花150g</x:v>
      </x:c>
      <x:c r="L195" s="76" t="b">
        <x:v>1</x:v>
      </x:c>
      <x:c r="M195" s="30" t="str">
        <x:v>已按MDT确认的Ingredient Master min/max/step执行化；执行量变化后必须重算营养。</x:v>
      </x:c>
      <x:c r="N195" s="30" t="n">
        <x:v>150</x:v>
      </x:c>
    </x:row>
    <x:row r="196">
      <x:c r="A196" s="30" t="str">
        <x:v>P010</x:v>
      </x:c>
      <x:c r="B196" s="30" t="str">
        <x:v>西兰花虾仁</x:v>
      </x:c>
      <x:c r="C196" s="30" t="str">
        <x:v>LINEAR_WITH_EXECUTION_ROUNDING</x:v>
      </x:c>
      <x:c r="D196" s="30" t="n">
        <x:v>1</x:v>
      </x:c>
      <x:c r="E196" s="30" t="str">
        <x:v>植物油</x:v>
      </x:c>
      <x:c r="F196" s="30" t="n">
        <x:v>5</x:v>
      </x:c>
      <x:c r="G196" s="30" t="str">
        <x:v>g</x:v>
      </x:c>
      <x:c r="H196" s="30" t="str">
        <x:v>added_weight</x:v>
      </x:c>
      <x:c r="I196" s="30" t="n">
        <x:v>1</x:v>
      </x:c>
      <x:c r="J196" s="30" t="n">
        <x:v>5</x:v>
      </x:c>
      <x:c r="K196" s="30" t="str">
        <x:v>植物油5g</x:v>
      </x:c>
      <x:c r="L196" s="76" t="b">
        <x:v>1</x:v>
      </x:c>
      <x:c r="M196" s="30" t="str">
        <x:v>已按MDT确认的Ingredient Master min/max/step执行化；执行量变化后必须重算营养。</x:v>
      </x:c>
      <x:c r="N196" s="30" t="n">
        <x:v>5</x:v>
      </x:c>
    </x:row>
    <x:row r="197">
      <x:c r="A197" s="30" t="str">
        <x:v>P010</x:v>
      </x:c>
      <x:c r="B197" s="30" t="str">
        <x:v>西兰花虾仁</x:v>
      </x:c>
      <x:c r="C197" s="30" t="str">
        <x:v>LINEAR_WITH_EXECUTION_ROUNDING</x:v>
      </x:c>
      <x:c r="D197" s="30" t="n">
        <x:v>1.25</x:v>
      </x:c>
      <x:c r="E197" s="30" t="str">
        <x:v>虾仁</x:v>
      </x:c>
      <x:c r="F197" s="30" t="n">
        <x:v>80</x:v>
      </x:c>
      <x:c r="G197" s="30" t="str">
        <x:v>g</x:v>
      </x:c>
      <x:c r="H197" s="30" t="str">
        <x:v>raw_edible_weight</x:v>
      </x:c>
      <x:c r="I197" s="30" t="n">
        <x:v>5</x:v>
      </x:c>
      <x:c r="J197" s="30" t="n">
        <x:v>100</x:v>
      </x:c>
      <x:c r="K197" s="30" t="str">
        <x:v>虾仁100g</x:v>
      </x:c>
      <x:c r="L197" s="76" t="b">
        <x:v>1</x:v>
      </x:c>
      <x:c r="M197" s="30" t="str">
        <x:v>已按MDT确认的Ingredient Master min/max/step执行化；执行量变化后必须重算营养。</x:v>
      </x:c>
      <x:c r="N197" s="30" t="n">
        <x:v>100</x:v>
      </x:c>
    </x:row>
    <x:row r="198">
      <x:c r="A198" s="30" t="str">
        <x:v>P010</x:v>
      </x:c>
      <x:c r="B198" s="30" t="str">
        <x:v>西兰花虾仁</x:v>
      </x:c>
      <x:c r="C198" s="30" t="str">
        <x:v>LINEAR_WITH_EXECUTION_ROUNDING</x:v>
      </x:c>
      <x:c r="D198" s="30" t="n">
        <x:v>1.25</x:v>
      </x:c>
      <x:c r="E198" s="30" t="str">
        <x:v>西兰花</x:v>
      </x:c>
      <x:c r="F198" s="30" t="n">
        <x:v>150</x:v>
      </x:c>
      <x:c r="G198" s="30" t="str">
        <x:v>g</x:v>
      </x:c>
      <x:c r="H198" s="30" t="str">
        <x:v>raw_edible_weight</x:v>
      </x:c>
      <x:c r="I198" s="30" t="n">
        <x:v>10</x:v>
      </x:c>
      <x:c r="J198" s="30" t="n">
        <x:v>187.5</x:v>
      </x:c>
      <x:c r="K198" s="30" t="str">
        <x:v>西兰花190g</x:v>
      </x:c>
      <x:c r="L198" s="76" t="b">
        <x:v>1</x:v>
      </x:c>
      <x:c r="M198" s="30" t="str">
        <x:v>已按MDT确认的Ingredient Master min/max/step执行化；执行量变化后必须重算营养。</x:v>
      </x:c>
      <x:c r="N198" s="30" t="n">
        <x:v>190</x:v>
      </x:c>
    </x:row>
    <x:row r="199">
      <x:c r="A199" s="30" t="str">
        <x:v>P010</x:v>
      </x:c>
      <x:c r="B199" s="30" t="str">
        <x:v>西兰花虾仁</x:v>
      </x:c>
      <x:c r="C199" s="30" t="str">
        <x:v>LINEAR_WITH_EXECUTION_ROUNDING</x:v>
      </x:c>
      <x:c r="D199" s="30" t="n">
        <x:v>1.25</x:v>
      </x:c>
      <x:c r="E199" s="30" t="str">
        <x:v>植物油</x:v>
      </x:c>
      <x:c r="F199" s="30" t="n">
        <x:v>5</x:v>
      </x:c>
      <x:c r="G199" s="30" t="str">
        <x:v>g</x:v>
      </x:c>
      <x:c r="H199" s="30" t="str">
        <x:v>added_weight</x:v>
      </x:c>
      <x:c r="I199" s="30" t="n">
        <x:v>1</x:v>
      </x:c>
      <x:c r="J199" s="30" t="n">
        <x:v>6.25</x:v>
      </x:c>
      <x:c r="K199" s="30" t="str">
        <x:v>植物油6g</x:v>
      </x:c>
      <x:c r="L199" s="76" t="b">
        <x:v>1</x:v>
      </x:c>
      <x:c r="M199" s="30" t="str">
        <x:v>已按MDT确认的Ingredient Master min/max/step执行化；执行量变化后必须重算营养。</x:v>
      </x:c>
      <x:c r="N199" s="30" t="n">
        <x:v>6</x:v>
      </x:c>
    </x:row>
    <x:row r="200">
      <x:c r="A200" s="30" t="str">
        <x:v>P010</x:v>
      </x:c>
      <x:c r="B200" s="30" t="str">
        <x:v>西兰花虾仁</x:v>
      </x:c>
      <x:c r="C200" s="30" t="str">
        <x:v>LINEAR_WITH_EXECUTION_ROUNDING</x:v>
      </x:c>
      <x:c r="D200" s="30" t="n">
        <x:v>1.5</x:v>
      </x:c>
      <x:c r="E200" s="30" t="str">
        <x:v>虾仁</x:v>
      </x:c>
      <x:c r="F200" s="30" t="n">
        <x:v>80</x:v>
      </x:c>
      <x:c r="G200" s="30" t="str">
        <x:v>g</x:v>
      </x:c>
      <x:c r="H200" s="30" t="str">
        <x:v>raw_edible_weight</x:v>
      </x:c>
      <x:c r="I200" s="30" t="n">
        <x:v>5</x:v>
      </x:c>
      <x:c r="J200" s="30" t="n">
        <x:v>120</x:v>
      </x:c>
      <x:c r="K200" s="30" t="str">
        <x:v>虾仁120g</x:v>
      </x:c>
      <x:c r="L200" s="76" t="b">
        <x:v>1</x:v>
      </x:c>
      <x:c r="M200" s="30" t="str">
        <x:v>已按MDT确认的Ingredient Master min/max/step执行化；执行量变化后必须重算营养。</x:v>
      </x:c>
      <x:c r="N200" s="30" t="n">
        <x:v>120</x:v>
      </x:c>
    </x:row>
    <x:row r="201">
      <x:c r="A201" s="30" t="str">
        <x:v>P010</x:v>
      </x:c>
      <x:c r="B201" s="30" t="str">
        <x:v>西兰花虾仁</x:v>
      </x:c>
      <x:c r="C201" s="30" t="str">
        <x:v>LINEAR_WITH_EXECUTION_ROUNDING</x:v>
      </x:c>
      <x:c r="D201" s="30" t="n">
        <x:v>1.5</x:v>
      </x:c>
      <x:c r="E201" s="30" t="str">
        <x:v>西兰花</x:v>
      </x:c>
      <x:c r="F201" s="30" t="n">
        <x:v>150</x:v>
      </x:c>
      <x:c r="G201" s="30" t="str">
        <x:v>g</x:v>
      </x:c>
      <x:c r="H201" s="30" t="str">
        <x:v>raw_edible_weight</x:v>
      </x:c>
      <x:c r="I201" s="30" t="n">
        <x:v>10</x:v>
      </x:c>
      <x:c r="J201" s="30" t="n">
        <x:v>225</x:v>
      </x:c>
      <x:c r="K201" s="30" t="str">
        <x:v>西兰花230g</x:v>
      </x:c>
      <x:c r="L201" s="76" t="b">
        <x:v>1</x:v>
      </x:c>
      <x:c r="M201" s="30" t="str">
        <x:v>已按MDT确认的Ingredient Master min/max/step执行化；执行量变化后必须重算营养。</x:v>
      </x:c>
      <x:c r="N201" s="30" t="n">
        <x:v>230</x:v>
      </x:c>
    </x:row>
    <x:row r="202">
      <x:c r="A202" s="30" t="str">
        <x:v>P010</x:v>
      </x:c>
      <x:c r="B202" s="30" t="str">
        <x:v>西兰花虾仁</x:v>
      </x:c>
      <x:c r="C202" s="30" t="str">
        <x:v>LINEAR_WITH_EXECUTION_ROUNDING</x:v>
      </x:c>
      <x:c r="D202" s="30" t="n">
        <x:v>1.5</x:v>
      </x:c>
      <x:c r="E202" s="30" t="str">
        <x:v>植物油</x:v>
      </x:c>
      <x:c r="F202" s="30" t="n">
        <x:v>5</x:v>
      </x:c>
      <x:c r="G202" s="30" t="str">
        <x:v>g</x:v>
      </x:c>
      <x:c r="H202" s="30" t="str">
        <x:v>added_weight</x:v>
      </x:c>
      <x:c r="I202" s="30" t="n">
        <x:v>1</x:v>
      </x:c>
      <x:c r="J202" s="30" t="n">
        <x:v>7.5</x:v>
      </x:c>
      <x:c r="K202" s="30" t="str">
        <x:v>植物油8g</x:v>
      </x:c>
      <x:c r="L202" s="76" t="b">
        <x:v>1</x:v>
      </x:c>
      <x:c r="M202" s="30" t="str">
        <x:v>已按MDT确认的Ingredient Master min/max/step执行化；执行量变化后必须重算营养。</x:v>
      </x:c>
      <x:c r="N202" s="30" t="n">
        <x:v>8</x:v>
      </x:c>
    </x:row>
    <x:row r="203">
      <x:c r="A203" s="30" t="str">
        <x:v>P011</x:v>
      </x:c>
      <x:c r="B203" s="30" t="str">
        <x:v>鸡胸彩椒</x:v>
      </x:c>
      <x:c r="C203" s="30" t="str">
        <x:v>LINEAR_WITH_EXECUTION_ROUNDING</x:v>
      </x:c>
      <x:c r="D203" s="30" t="n">
        <x:v>0.5</x:v>
      </x:c>
      <x:c r="E203" s="30" t="str">
        <x:v>鸡胸肉</x:v>
      </x:c>
      <x:c r="F203" s="30" t="n">
        <x:v>80</x:v>
      </x:c>
      <x:c r="G203" s="30" t="str">
        <x:v>g</x:v>
      </x:c>
      <x:c r="H203" s="30" t="str">
        <x:v>raw_edible_weight</x:v>
      </x:c>
      <x:c r="I203" s="30" t="n">
        <x:v>5</x:v>
      </x:c>
      <x:c r="J203" s="30" t="n">
        <x:v>40</x:v>
      </x:c>
      <x:c r="K203" s="30" t="str">
        <x:v>鸡胸肉40g</x:v>
      </x:c>
      <x:c r="L203" s="76" t="b">
        <x:v>1</x:v>
      </x:c>
      <x:c r="M203" s="30" t="str">
        <x:v>已按MDT确认的Ingredient Master min/max/step执行化；执行量变化后必须重算营养。</x:v>
      </x:c>
      <x:c r="N203" s="30" t="n">
        <x:v>40</x:v>
      </x:c>
    </x:row>
    <x:row r="204">
      <x:c r="A204" s="30" t="str">
        <x:v>P011</x:v>
      </x:c>
      <x:c r="B204" s="30" t="str">
        <x:v>鸡胸彩椒</x:v>
      </x:c>
      <x:c r="C204" s="30" t="str">
        <x:v>LINEAR_WITH_EXECUTION_ROUNDING</x:v>
      </x:c>
      <x:c r="D204" s="30" t="n">
        <x:v>0.5</x:v>
      </x:c>
      <x:c r="E204" s="30" t="str">
        <x:v>彩椒</x:v>
      </x:c>
      <x:c r="F204" s="30" t="n">
        <x:v>150</x:v>
      </x:c>
      <x:c r="G204" s="30" t="str">
        <x:v>g</x:v>
      </x:c>
      <x:c r="H204" s="30" t="str">
        <x:v>raw_edible_weight</x:v>
      </x:c>
      <x:c r="I204" s="30" t="n">
        <x:v>10</x:v>
      </x:c>
      <x:c r="J204" s="30" t="n">
        <x:v>75</x:v>
      </x:c>
      <x:c r="K204" s="30" t="str">
        <x:v>彩椒80g</x:v>
      </x:c>
      <x:c r="L204" s="76" t="b">
        <x:v>1</x:v>
      </x:c>
      <x:c r="M204" s="30" t="str">
        <x:v>已按MDT确认的Ingredient Master min/max/step执行化；执行量变化后必须重算营养。</x:v>
      </x:c>
      <x:c r="N204" s="30" t="n">
        <x:v>80</x:v>
      </x:c>
    </x:row>
    <x:row r="205">
      <x:c r="A205" s="30" t="str">
        <x:v>P011</x:v>
      </x:c>
      <x:c r="B205" s="30" t="str">
        <x:v>鸡胸彩椒</x:v>
      </x:c>
      <x:c r="C205" s="30" t="str">
        <x:v>LINEAR_WITH_EXECUTION_ROUNDING</x:v>
      </x:c>
      <x:c r="D205" s="30" t="n">
        <x:v>0.5</x:v>
      </x:c>
      <x:c r="E205" s="30" t="str">
        <x:v>植物油</x:v>
      </x:c>
      <x:c r="F205" s="30" t="n">
        <x:v>5</x:v>
      </x:c>
      <x:c r="G205" s="30" t="str">
        <x:v>g</x:v>
      </x:c>
      <x:c r="H205" s="30" t="str">
        <x:v>added_weight</x:v>
      </x:c>
      <x:c r="I205" s="30" t="n">
        <x:v>1</x:v>
      </x:c>
      <x:c r="J205" s="30" t="n">
        <x:v>2.5</x:v>
      </x:c>
      <x:c r="K205" s="30" t="str">
        <x:v>植物油3g</x:v>
      </x:c>
      <x:c r="L205" s="76" t="b">
        <x:v>1</x:v>
      </x:c>
      <x:c r="M205" s="30" t="str">
        <x:v>已按MDT确认的Ingredient Master min/max/step执行化；执行量变化后必须重算营养。</x:v>
      </x:c>
      <x:c r="N205" s="30" t="n">
        <x:v>3</x:v>
      </x:c>
    </x:row>
    <x:row r="206">
      <x:c r="A206" s="30" t="str">
        <x:v>P011</x:v>
      </x:c>
      <x:c r="B206" s="30" t="str">
        <x:v>鸡胸彩椒</x:v>
      </x:c>
      <x:c r="C206" s="30" t="str">
        <x:v>LINEAR_WITH_EXECUTION_ROUNDING</x:v>
      </x:c>
      <x:c r="D206" s="30" t="n">
        <x:v>0.75</x:v>
      </x:c>
      <x:c r="E206" s="30" t="str">
        <x:v>鸡胸肉</x:v>
      </x:c>
      <x:c r="F206" s="30" t="n">
        <x:v>80</x:v>
      </x:c>
      <x:c r="G206" s="30" t="str">
        <x:v>g</x:v>
      </x:c>
      <x:c r="H206" s="30" t="str">
        <x:v>raw_edible_weight</x:v>
      </x:c>
      <x:c r="I206" s="30" t="n">
        <x:v>5</x:v>
      </x:c>
      <x:c r="J206" s="30" t="n">
        <x:v>60</x:v>
      </x:c>
      <x:c r="K206" s="30" t="str">
        <x:v>鸡胸肉60g</x:v>
      </x:c>
      <x:c r="L206" s="76" t="b">
        <x:v>1</x:v>
      </x:c>
      <x:c r="M206" s="30" t="str">
        <x:v>已按MDT确认的Ingredient Master min/max/step执行化；执行量变化后必须重算营养。</x:v>
      </x:c>
      <x:c r="N206" s="30" t="n">
        <x:v>60</x:v>
      </x:c>
    </x:row>
    <x:row r="207">
      <x:c r="A207" s="30" t="str">
        <x:v>P011</x:v>
      </x:c>
      <x:c r="B207" s="30" t="str">
        <x:v>鸡胸彩椒</x:v>
      </x:c>
      <x:c r="C207" s="30" t="str">
        <x:v>LINEAR_WITH_EXECUTION_ROUNDING</x:v>
      </x:c>
      <x:c r="D207" s="30" t="n">
        <x:v>0.75</x:v>
      </x:c>
      <x:c r="E207" s="30" t="str">
        <x:v>彩椒</x:v>
      </x:c>
      <x:c r="F207" s="30" t="n">
        <x:v>150</x:v>
      </x:c>
      <x:c r="G207" s="30" t="str">
        <x:v>g</x:v>
      </x:c>
      <x:c r="H207" s="30" t="str">
        <x:v>raw_edible_weight</x:v>
      </x:c>
      <x:c r="I207" s="30" t="n">
        <x:v>10</x:v>
      </x:c>
      <x:c r="J207" s="30" t="n">
        <x:v>112.5</x:v>
      </x:c>
      <x:c r="K207" s="30" t="str">
        <x:v>彩椒110g</x:v>
      </x:c>
      <x:c r="L207" s="76" t="b">
        <x:v>1</x:v>
      </x:c>
      <x:c r="M207" s="30" t="str">
        <x:v>已按MDT确认的Ingredient Master min/max/step执行化；执行量变化后必须重算营养。</x:v>
      </x:c>
      <x:c r="N207" s="30" t="n">
        <x:v>110</x:v>
      </x:c>
    </x:row>
    <x:row r="208">
      <x:c r="A208" s="30" t="str">
        <x:v>P011</x:v>
      </x:c>
      <x:c r="B208" s="30" t="str">
        <x:v>鸡胸彩椒</x:v>
      </x:c>
      <x:c r="C208" s="30" t="str">
        <x:v>LINEAR_WITH_EXECUTION_ROUNDING</x:v>
      </x:c>
      <x:c r="D208" s="30" t="n">
        <x:v>0.75</x:v>
      </x:c>
      <x:c r="E208" s="30" t="str">
        <x:v>植物油</x:v>
      </x:c>
      <x:c r="F208" s="30" t="n">
        <x:v>5</x:v>
      </x:c>
      <x:c r="G208" s="30" t="str">
        <x:v>g</x:v>
      </x:c>
      <x:c r="H208" s="30" t="str">
        <x:v>added_weight</x:v>
      </x:c>
      <x:c r="I208" s="30" t="n">
        <x:v>1</x:v>
      </x:c>
      <x:c r="J208" s="30" t="n">
        <x:v>3.75</x:v>
      </x:c>
      <x:c r="K208" s="30" t="str">
        <x:v>植物油4g</x:v>
      </x:c>
      <x:c r="L208" s="76" t="b">
        <x:v>1</x:v>
      </x:c>
      <x:c r="M208" s="30" t="str">
        <x:v>已按MDT确认的Ingredient Master min/max/step执行化；执行量变化后必须重算营养。</x:v>
      </x:c>
      <x:c r="N208" s="30" t="n">
        <x:v>4</x:v>
      </x:c>
    </x:row>
    <x:row r="209">
      <x:c r="A209" s="30" t="str">
        <x:v>P011</x:v>
      </x:c>
      <x:c r="B209" s="30" t="str">
        <x:v>鸡胸彩椒</x:v>
      </x:c>
      <x:c r="C209" s="30" t="str">
        <x:v>LINEAR_WITH_EXECUTION_ROUNDING</x:v>
      </x:c>
      <x:c r="D209" s="30" t="n">
        <x:v>1</x:v>
      </x:c>
      <x:c r="E209" s="30" t="str">
        <x:v>鸡胸肉</x:v>
      </x:c>
      <x:c r="F209" s="30" t="n">
        <x:v>80</x:v>
      </x:c>
      <x:c r="G209" s="30" t="str">
        <x:v>g</x:v>
      </x:c>
      <x:c r="H209" s="30" t="str">
        <x:v>raw_edible_weight</x:v>
      </x:c>
      <x:c r="I209" s="30" t="n">
        <x:v>5</x:v>
      </x:c>
      <x:c r="J209" s="30" t="n">
        <x:v>80</x:v>
      </x:c>
      <x:c r="K209" s="30" t="str">
        <x:v>鸡胸肉80g</x:v>
      </x:c>
      <x:c r="L209" s="76" t="b">
        <x:v>1</x:v>
      </x:c>
      <x:c r="M209" s="30" t="str">
        <x:v>已按MDT确认的Ingredient Master min/max/step执行化；执行量变化后必须重算营养。</x:v>
      </x:c>
      <x:c r="N209" s="30" t="n">
        <x:v>80</x:v>
      </x:c>
    </x:row>
    <x:row r="210">
      <x:c r="A210" s="30" t="str">
        <x:v>P011</x:v>
      </x:c>
      <x:c r="B210" s="30" t="str">
        <x:v>鸡胸彩椒</x:v>
      </x:c>
      <x:c r="C210" s="30" t="str">
        <x:v>LINEAR_WITH_EXECUTION_ROUNDING</x:v>
      </x:c>
      <x:c r="D210" s="30" t="n">
        <x:v>1</x:v>
      </x:c>
      <x:c r="E210" s="30" t="str">
        <x:v>彩椒</x:v>
      </x:c>
      <x:c r="F210" s="30" t="n">
        <x:v>150</x:v>
      </x:c>
      <x:c r="G210" s="30" t="str">
        <x:v>g</x:v>
      </x:c>
      <x:c r="H210" s="30" t="str">
        <x:v>raw_edible_weight</x:v>
      </x:c>
      <x:c r="I210" s="30" t="n">
        <x:v>10</x:v>
      </x:c>
      <x:c r="J210" s="30" t="n">
        <x:v>150</x:v>
      </x:c>
      <x:c r="K210" s="30" t="str">
        <x:v>彩椒150g</x:v>
      </x:c>
      <x:c r="L210" s="76" t="b">
        <x:v>1</x:v>
      </x:c>
      <x:c r="M210" s="30" t="str">
        <x:v>已按MDT确认的Ingredient Master min/max/step执行化；执行量变化后必须重算营养。</x:v>
      </x:c>
      <x:c r="N210" s="30" t="n">
        <x:v>150</x:v>
      </x:c>
    </x:row>
    <x:row r="211">
      <x:c r="A211" s="30" t="str">
        <x:v>P011</x:v>
      </x:c>
      <x:c r="B211" s="30" t="str">
        <x:v>鸡胸彩椒</x:v>
      </x:c>
      <x:c r="C211" s="30" t="str">
        <x:v>LINEAR_WITH_EXECUTION_ROUNDING</x:v>
      </x:c>
      <x:c r="D211" s="30" t="n">
        <x:v>1</x:v>
      </x:c>
      <x:c r="E211" s="30" t="str">
        <x:v>植物油</x:v>
      </x:c>
      <x:c r="F211" s="30" t="n">
        <x:v>5</x:v>
      </x:c>
      <x:c r="G211" s="30" t="str">
        <x:v>g</x:v>
      </x:c>
      <x:c r="H211" s="30" t="str">
        <x:v>added_weight</x:v>
      </x:c>
      <x:c r="I211" s="30" t="n">
        <x:v>1</x:v>
      </x:c>
      <x:c r="J211" s="30" t="n">
        <x:v>5</x:v>
      </x:c>
      <x:c r="K211" s="30" t="str">
        <x:v>植物油5g</x:v>
      </x:c>
      <x:c r="L211" s="76" t="b">
        <x:v>1</x:v>
      </x:c>
      <x:c r="M211" s="30" t="str">
        <x:v>已按MDT确认的Ingredient Master min/max/step执行化；执行量变化后必须重算营养。</x:v>
      </x:c>
      <x:c r="N211" s="30" t="n">
        <x:v>5</x:v>
      </x:c>
    </x:row>
    <x:row r="212">
      <x:c r="A212" s="30" t="str">
        <x:v>P011</x:v>
      </x:c>
      <x:c r="B212" s="30" t="str">
        <x:v>鸡胸彩椒</x:v>
      </x:c>
      <x:c r="C212" s="30" t="str">
        <x:v>LINEAR_WITH_EXECUTION_ROUNDING</x:v>
      </x:c>
      <x:c r="D212" s="30" t="n">
        <x:v>1.25</x:v>
      </x:c>
      <x:c r="E212" s="30" t="str">
        <x:v>鸡胸肉</x:v>
      </x:c>
      <x:c r="F212" s="30" t="n">
        <x:v>80</x:v>
      </x:c>
      <x:c r="G212" s="30" t="str">
        <x:v>g</x:v>
      </x:c>
      <x:c r="H212" s="30" t="str">
        <x:v>raw_edible_weight</x:v>
      </x:c>
      <x:c r="I212" s="30" t="n">
        <x:v>5</x:v>
      </x:c>
      <x:c r="J212" s="30" t="n">
        <x:v>100</x:v>
      </x:c>
      <x:c r="K212" s="30" t="str">
        <x:v>鸡胸肉100g</x:v>
      </x:c>
      <x:c r="L212" s="76" t="b">
        <x:v>1</x:v>
      </x:c>
      <x:c r="M212" s="30" t="str">
        <x:v>已按MDT确认的Ingredient Master min/max/step执行化；执行量变化后必须重算营养。</x:v>
      </x:c>
      <x:c r="N212" s="30" t="n">
        <x:v>100</x:v>
      </x:c>
    </x:row>
    <x:row r="213">
      <x:c r="A213" s="30" t="str">
        <x:v>P011</x:v>
      </x:c>
      <x:c r="B213" s="30" t="str">
        <x:v>鸡胸彩椒</x:v>
      </x:c>
      <x:c r="C213" s="30" t="str">
        <x:v>LINEAR_WITH_EXECUTION_ROUNDING</x:v>
      </x:c>
      <x:c r="D213" s="30" t="n">
        <x:v>1.25</x:v>
      </x:c>
      <x:c r="E213" s="30" t="str">
        <x:v>彩椒</x:v>
      </x:c>
      <x:c r="F213" s="30" t="n">
        <x:v>150</x:v>
      </x:c>
      <x:c r="G213" s="30" t="str">
        <x:v>g</x:v>
      </x:c>
      <x:c r="H213" s="30" t="str">
        <x:v>raw_edible_weight</x:v>
      </x:c>
      <x:c r="I213" s="30" t="n">
        <x:v>10</x:v>
      </x:c>
      <x:c r="J213" s="30" t="n">
        <x:v>187.5</x:v>
      </x:c>
      <x:c r="K213" s="30" t="str">
        <x:v>彩椒190g</x:v>
      </x:c>
      <x:c r="L213" s="76" t="b">
        <x:v>1</x:v>
      </x:c>
      <x:c r="M213" s="30" t="str">
        <x:v>已按MDT确认的Ingredient Master min/max/step执行化；执行量变化后必须重算营养。</x:v>
      </x:c>
      <x:c r="N213" s="30" t="n">
        <x:v>190</x:v>
      </x:c>
    </x:row>
    <x:row r="214">
      <x:c r="A214" s="30" t="str">
        <x:v>P011</x:v>
      </x:c>
      <x:c r="B214" s="30" t="str">
        <x:v>鸡胸彩椒</x:v>
      </x:c>
      <x:c r="C214" s="30" t="str">
        <x:v>LINEAR_WITH_EXECUTION_ROUNDING</x:v>
      </x:c>
      <x:c r="D214" s="30" t="n">
        <x:v>1.25</x:v>
      </x:c>
      <x:c r="E214" s="30" t="str">
        <x:v>植物油</x:v>
      </x:c>
      <x:c r="F214" s="30" t="n">
        <x:v>5</x:v>
      </x:c>
      <x:c r="G214" s="30" t="str">
        <x:v>g</x:v>
      </x:c>
      <x:c r="H214" s="30" t="str">
        <x:v>added_weight</x:v>
      </x:c>
      <x:c r="I214" s="30" t="n">
        <x:v>1</x:v>
      </x:c>
      <x:c r="J214" s="30" t="n">
        <x:v>6.25</x:v>
      </x:c>
      <x:c r="K214" s="30" t="str">
        <x:v>植物油6g</x:v>
      </x:c>
      <x:c r="L214" s="76" t="b">
        <x:v>1</x:v>
      </x:c>
      <x:c r="M214" s="30" t="str">
        <x:v>已按MDT确认的Ingredient Master min/max/step执行化；执行量变化后必须重算营养。</x:v>
      </x:c>
      <x:c r="N214" s="30" t="n">
        <x:v>6</x:v>
      </x:c>
    </x:row>
    <x:row r="215">
      <x:c r="A215" s="30" t="str">
        <x:v>P011</x:v>
      </x:c>
      <x:c r="B215" s="30" t="str">
        <x:v>鸡胸彩椒</x:v>
      </x:c>
      <x:c r="C215" s="30" t="str">
        <x:v>LINEAR_WITH_EXECUTION_ROUNDING</x:v>
      </x:c>
      <x:c r="D215" s="30" t="n">
        <x:v>1.5</x:v>
      </x:c>
      <x:c r="E215" s="30" t="str">
        <x:v>鸡胸肉</x:v>
      </x:c>
      <x:c r="F215" s="30" t="n">
        <x:v>80</x:v>
      </x:c>
      <x:c r="G215" s="30" t="str">
        <x:v>g</x:v>
      </x:c>
      <x:c r="H215" s="30" t="str">
        <x:v>raw_edible_weight</x:v>
      </x:c>
      <x:c r="I215" s="30" t="n">
        <x:v>5</x:v>
      </x:c>
      <x:c r="J215" s="30" t="n">
        <x:v>120</x:v>
      </x:c>
      <x:c r="K215" s="30" t="str">
        <x:v>鸡胸肉120g</x:v>
      </x:c>
      <x:c r="L215" s="76" t="b">
        <x:v>1</x:v>
      </x:c>
      <x:c r="M215" s="30" t="str">
        <x:v>已按MDT确认的Ingredient Master min/max/step执行化；执行量变化后必须重算营养。</x:v>
      </x:c>
      <x:c r="N215" s="30" t="n">
        <x:v>120</x:v>
      </x:c>
    </x:row>
    <x:row r="216">
      <x:c r="A216" s="30" t="str">
        <x:v>P011</x:v>
      </x:c>
      <x:c r="B216" s="30" t="str">
        <x:v>鸡胸彩椒</x:v>
      </x:c>
      <x:c r="C216" s="30" t="str">
        <x:v>LINEAR_WITH_EXECUTION_ROUNDING</x:v>
      </x:c>
      <x:c r="D216" s="30" t="n">
        <x:v>1.5</x:v>
      </x:c>
      <x:c r="E216" s="30" t="str">
        <x:v>彩椒</x:v>
      </x:c>
      <x:c r="F216" s="30" t="n">
        <x:v>150</x:v>
      </x:c>
      <x:c r="G216" s="30" t="str">
        <x:v>g</x:v>
      </x:c>
      <x:c r="H216" s="30" t="str">
        <x:v>raw_edible_weight</x:v>
      </x:c>
      <x:c r="I216" s="30" t="n">
        <x:v>10</x:v>
      </x:c>
      <x:c r="J216" s="30" t="n">
        <x:v>225</x:v>
      </x:c>
      <x:c r="K216" s="30" t="str">
        <x:v>彩椒230g</x:v>
      </x:c>
      <x:c r="L216" s="76" t="b">
        <x:v>1</x:v>
      </x:c>
      <x:c r="M216" s="30" t="str">
        <x:v>已按MDT确认的Ingredient Master min/max/step执行化；执行量变化后必须重算营养。</x:v>
      </x:c>
      <x:c r="N216" s="30" t="n">
        <x:v>230</x:v>
      </x:c>
    </x:row>
    <x:row r="217">
      <x:c r="A217" s="30" t="str">
        <x:v>P011</x:v>
      </x:c>
      <x:c r="B217" s="30" t="str">
        <x:v>鸡胸彩椒</x:v>
      </x:c>
      <x:c r="C217" s="30" t="str">
        <x:v>LINEAR_WITH_EXECUTION_ROUNDING</x:v>
      </x:c>
      <x:c r="D217" s="30" t="n">
        <x:v>1.5</x:v>
      </x:c>
      <x:c r="E217" s="30" t="str">
        <x:v>植物油</x:v>
      </x:c>
      <x:c r="F217" s="30" t="n">
        <x:v>5</x:v>
      </x:c>
      <x:c r="G217" s="30" t="str">
        <x:v>g</x:v>
      </x:c>
      <x:c r="H217" s="30" t="str">
        <x:v>added_weight</x:v>
      </x:c>
      <x:c r="I217" s="30" t="n">
        <x:v>1</x:v>
      </x:c>
      <x:c r="J217" s="30" t="n">
        <x:v>7.5</x:v>
      </x:c>
      <x:c r="K217" s="30" t="str">
        <x:v>植物油8g</x:v>
      </x:c>
      <x:c r="L217" s="76" t="b">
        <x:v>1</x:v>
      </x:c>
      <x:c r="M217" s="30" t="str">
        <x:v>已按MDT确认的Ingredient Master min/max/step执行化；执行量变化后必须重算营养。</x:v>
      </x:c>
      <x:c r="N217" s="30" t="n">
        <x:v>8</x:v>
      </x:c>
    </x:row>
    <x:row r="218">
      <x:c r="A218" s="30" t="str">
        <x:v>P012</x:v>
      </x:c>
      <x:c r="B218" s="30" t="str">
        <x:v>牛肉西葫芦</x:v>
      </x:c>
      <x:c r="C218" s="30" t="str">
        <x:v>LINEAR_WITH_EXECUTION_ROUNDING</x:v>
      </x:c>
      <x:c r="D218" s="30" t="n">
        <x:v>0.5</x:v>
      </x:c>
      <x:c r="E218" s="30" t="str">
        <x:v>瘦牛肉</x:v>
      </x:c>
      <x:c r="F218" s="30" t="n">
        <x:v>80</x:v>
      </x:c>
      <x:c r="G218" s="30" t="str">
        <x:v>g</x:v>
      </x:c>
      <x:c r="H218" s="30" t="str">
        <x:v>raw_edible_weight</x:v>
      </x:c>
      <x:c r="I218" s="30" t="n">
        <x:v>5</x:v>
      </x:c>
      <x:c r="J218" s="30" t="n">
        <x:v>40</x:v>
      </x:c>
      <x:c r="K218" s="30" t="str">
        <x:v>瘦牛肉40g</x:v>
      </x:c>
      <x:c r="L218" s="76" t="b">
        <x:v>1</x:v>
      </x:c>
      <x:c r="M218" s="30" t="str">
        <x:v>已按MDT确认的Ingredient Master min/max/step执行化；执行量变化后必须重算营养。</x:v>
      </x:c>
      <x:c r="N218" s="30" t="n">
        <x:v>40</x:v>
      </x:c>
    </x:row>
    <x:row r="219">
      <x:c r="A219" s="30" t="str">
        <x:v>P012</x:v>
      </x:c>
      <x:c r="B219" s="30" t="str">
        <x:v>牛肉西葫芦</x:v>
      </x:c>
      <x:c r="C219" s="30" t="str">
        <x:v>LINEAR_WITH_EXECUTION_ROUNDING</x:v>
      </x:c>
      <x:c r="D219" s="30" t="n">
        <x:v>0.5</x:v>
      </x:c>
      <x:c r="E219" s="30" t="str">
        <x:v>西葫芦</x:v>
      </x:c>
      <x:c r="F219" s="30" t="n">
        <x:v>150</x:v>
      </x:c>
      <x:c r="G219" s="30" t="str">
        <x:v>g</x:v>
      </x:c>
      <x:c r="H219" s="30" t="str">
        <x:v>raw_edible_weight</x:v>
      </x:c>
      <x:c r="I219" s="30" t="n">
        <x:v>10</x:v>
      </x:c>
      <x:c r="J219" s="30" t="n">
        <x:v>75</x:v>
      </x:c>
      <x:c r="K219" s="30" t="str">
        <x:v>西葫芦80g</x:v>
      </x:c>
      <x:c r="L219" s="76" t="b">
        <x:v>1</x:v>
      </x:c>
      <x:c r="M219" s="30" t="str">
        <x:v>已按MDT确认的Ingredient Master min/max/step执行化；执行量变化后必须重算营养。</x:v>
      </x:c>
      <x:c r="N219" s="30" t="n">
        <x:v>80</x:v>
      </x:c>
    </x:row>
    <x:row r="220">
      <x:c r="A220" s="30" t="str">
        <x:v>P012</x:v>
      </x:c>
      <x:c r="B220" s="30" t="str">
        <x:v>牛肉西葫芦</x:v>
      </x:c>
      <x:c r="C220" s="30" t="str">
        <x:v>LINEAR_WITH_EXECUTION_ROUNDING</x:v>
      </x:c>
      <x:c r="D220" s="30" t="n">
        <x:v>0.5</x:v>
      </x:c>
      <x:c r="E220" s="30" t="str">
        <x:v>植物油</x:v>
      </x:c>
      <x:c r="F220" s="30" t="n">
        <x:v>5</x:v>
      </x:c>
      <x:c r="G220" s="30" t="str">
        <x:v>g</x:v>
      </x:c>
      <x:c r="H220" s="30" t="str">
        <x:v>added_weight</x:v>
      </x:c>
      <x:c r="I220" s="30" t="n">
        <x:v>1</x:v>
      </x:c>
      <x:c r="J220" s="30" t="n">
        <x:v>2.5</x:v>
      </x:c>
      <x:c r="K220" s="30" t="str">
        <x:v>植物油3g</x:v>
      </x:c>
      <x:c r="L220" s="76" t="b">
        <x:v>1</x:v>
      </x:c>
      <x:c r="M220" s="30" t="str">
        <x:v>已按MDT确认的Ingredient Master min/max/step执行化；执行量变化后必须重算营养。</x:v>
      </x:c>
      <x:c r="N220" s="30" t="n">
        <x:v>3</x:v>
      </x:c>
    </x:row>
    <x:row r="221">
      <x:c r="A221" s="30" t="str">
        <x:v>P012</x:v>
      </x:c>
      <x:c r="B221" s="30" t="str">
        <x:v>牛肉西葫芦</x:v>
      </x:c>
      <x:c r="C221" s="30" t="str">
        <x:v>LINEAR_WITH_EXECUTION_ROUNDING</x:v>
      </x:c>
      <x:c r="D221" s="30" t="n">
        <x:v>0.75</x:v>
      </x:c>
      <x:c r="E221" s="30" t="str">
        <x:v>瘦牛肉</x:v>
      </x:c>
      <x:c r="F221" s="30" t="n">
        <x:v>80</x:v>
      </x:c>
      <x:c r="G221" s="30" t="str">
        <x:v>g</x:v>
      </x:c>
      <x:c r="H221" s="30" t="str">
        <x:v>raw_edible_weight</x:v>
      </x:c>
      <x:c r="I221" s="30" t="n">
        <x:v>5</x:v>
      </x:c>
      <x:c r="J221" s="30" t="n">
        <x:v>60</x:v>
      </x:c>
      <x:c r="K221" s="30" t="str">
        <x:v>瘦牛肉60g</x:v>
      </x:c>
      <x:c r="L221" s="76" t="b">
        <x:v>1</x:v>
      </x:c>
      <x:c r="M221" s="30" t="str">
        <x:v>已按MDT确认的Ingredient Master min/max/step执行化；执行量变化后必须重算营养。</x:v>
      </x:c>
      <x:c r="N221" s="30" t="n">
        <x:v>60</x:v>
      </x:c>
    </x:row>
    <x:row r="222">
      <x:c r="A222" s="30" t="str">
        <x:v>P012</x:v>
      </x:c>
      <x:c r="B222" s="30" t="str">
        <x:v>牛肉西葫芦</x:v>
      </x:c>
      <x:c r="C222" s="30" t="str">
        <x:v>LINEAR_WITH_EXECUTION_ROUNDING</x:v>
      </x:c>
      <x:c r="D222" s="30" t="n">
        <x:v>0.75</x:v>
      </x:c>
      <x:c r="E222" s="30" t="str">
        <x:v>西葫芦</x:v>
      </x:c>
      <x:c r="F222" s="30" t="n">
        <x:v>150</x:v>
      </x:c>
      <x:c r="G222" s="30" t="str">
        <x:v>g</x:v>
      </x:c>
      <x:c r="H222" s="30" t="str">
        <x:v>raw_edible_weight</x:v>
      </x:c>
      <x:c r="I222" s="30" t="n">
        <x:v>10</x:v>
      </x:c>
      <x:c r="J222" s="30" t="n">
        <x:v>112.5</x:v>
      </x:c>
      <x:c r="K222" s="30" t="str">
        <x:v>西葫芦110g</x:v>
      </x:c>
      <x:c r="L222" s="76" t="b">
        <x:v>1</x:v>
      </x:c>
      <x:c r="M222" s="30" t="str">
        <x:v>已按MDT确认的Ingredient Master min/max/step执行化；执行量变化后必须重算营养。</x:v>
      </x:c>
      <x:c r="N222" s="30" t="n">
        <x:v>110</x:v>
      </x:c>
    </x:row>
    <x:row r="223">
      <x:c r="A223" s="30" t="str">
        <x:v>P012</x:v>
      </x:c>
      <x:c r="B223" s="30" t="str">
        <x:v>牛肉西葫芦</x:v>
      </x:c>
      <x:c r="C223" s="30" t="str">
        <x:v>LINEAR_WITH_EXECUTION_ROUNDING</x:v>
      </x:c>
      <x:c r="D223" s="30" t="n">
        <x:v>0.75</x:v>
      </x:c>
      <x:c r="E223" s="30" t="str">
        <x:v>植物油</x:v>
      </x:c>
      <x:c r="F223" s="30" t="n">
        <x:v>5</x:v>
      </x:c>
      <x:c r="G223" s="30" t="str">
        <x:v>g</x:v>
      </x:c>
      <x:c r="H223" s="30" t="str">
        <x:v>added_weight</x:v>
      </x:c>
      <x:c r="I223" s="30" t="n">
        <x:v>1</x:v>
      </x:c>
      <x:c r="J223" s="30" t="n">
        <x:v>3.75</x:v>
      </x:c>
      <x:c r="K223" s="30" t="str">
        <x:v>植物油4g</x:v>
      </x:c>
      <x:c r="L223" s="76" t="b">
        <x:v>1</x:v>
      </x:c>
      <x:c r="M223" s="30" t="str">
        <x:v>已按MDT确认的Ingredient Master min/max/step执行化；执行量变化后必须重算营养。</x:v>
      </x:c>
      <x:c r="N223" s="30" t="n">
        <x:v>4</x:v>
      </x:c>
    </x:row>
    <x:row r="224">
      <x:c r="A224" s="30" t="str">
        <x:v>P012</x:v>
      </x:c>
      <x:c r="B224" s="30" t="str">
        <x:v>牛肉西葫芦</x:v>
      </x:c>
      <x:c r="C224" s="30" t="str">
        <x:v>LINEAR_WITH_EXECUTION_ROUNDING</x:v>
      </x:c>
      <x:c r="D224" s="30" t="n">
        <x:v>1</x:v>
      </x:c>
      <x:c r="E224" s="30" t="str">
        <x:v>瘦牛肉</x:v>
      </x:c>
      <x:c r="F224" s="30" t="n">
        <x:v>80</x:v>
      </x:c>
      <x:c r="G224" s="30" t="str">
        <x:v>g</x:v>
      </x:c>
      <x:c r="H224" s="30" t="str">
        <x:v>raw_edible_weight</x:v>
      </x:c>
      <x:c r="I224" s="30" t="n">
        <x:v>5</x:v>
      </x:c>
      <x:c r="J224" s="30" t="n">
        <x:v>80</x:v>
      </x:c>
      <x:c r="K224" s="30" t="str">
        <x:v>瘦牛肉80g</x:v>
      </x:c>
      <x:c r="L224" s="76" t="b">
        <x:v>1</x:v>
      </x:c>
      <x:c r="M224" s="30" t="str">
        <x:v>已按MDT确认的Ingredient Master min/max/step执行化；执行量变化后必须重算营养。</x:v>
      </x:c>
      <x:c r="N224" s="30" t="n">
        <x:v>80</x:v>
      </x:c>
    </x:row>
    <x:row r="225">
      <x:c r="A225" s="30" t="str">
        <x:v>P012</x:v>
      </x:c>
      <x:c r="B225" s="30" t="str">
        <x:v>牛肉西葫芦</x:v>
      </x:c>
      <x:c r="C225" s="30" t="str">
        <x:v>LINEAR_WITH_EXECUTION_ROUNDING</x:v>
      </x:c>
      <x:c r="D225" s="30" t="n">
        <x:v>1</x:v>
      </x:c>
      <x:c r="E225" s="30" t="str">
        <x:v>西葫芦</x:v>
      </x:c>
      <x:c r="F225" s="30" t="n">
        <x:v>150</x:v>
      </x:c>
      <x:c r="G225" s="30" t="str">
        <x:v>g</x:v>
      </x:c>
      <x:c r="H225" s="30" t="str">
        <x:v>raw_edible_weight</x:v>
      </x:c>
      <x:c r="I225" s="30" t="n">
        <x:v>10</x:v>
      </x:c>
      <x:c r="J225" s="30" t="n">
        <x:v>150</x:v>
      </x:c>
      <x:c r="K225" s="30" t="str">
        <x:v>西葫芦150g</x:v>
      </x:c>
      <x:c r="L225" s="76" t="b">
        <x:v>1</x:v>
      </x:c>
      <x:c r="M225" s="30" t="str">
        <x:v>已按MDT确认的Ingredient Master min/max/step执行化；执行量变化后必须重算营养。</x:v>
      </x:c>
      <x:c r="N225" s="30" t="n">
        <x:v>150</x:v>
      </x:c>
    </x:row>
    <x:row r="226">
      <x:c r="A226" s="30" t="str">
        <x:v>P012</x:v>
      </x:c>
      <x:c r="B226" s="30" t="str">
        <x:v>牛肉西葫芦</x:v>
      </x:c>
      <x:c r="C226" s="30" t="str">
        <x:v>LINEAR_WITH_EXECUTION_ROUNDING</x:v>
      </x:c>
      <x:c r="D226" s="30" t="n">
        <x:v>1</x:v>
      </x:c>
      <x:c r="E226" s="30" t="str">
        <x:v>植物油</x:v>
      </x:c>
      <x:c r="F226" s="30" t="n">
        <x:v>5</x:v>
      </x:c>
      <x:c r="G226" s="30" t="str">
        <x:v>g</x:v>
      </x:c>
      <x:c r="H226" s="30" t="str">
        <x:v>added_weight</x:v>
      </x:c>
      <x:c r="I226" s="30" t="n">
        <x:v>1</x:v>
      </x:c>
      <x:c r="J226" s="30" t="n">
        <x:v>5</x:v>
      </x:c>
      <x:c r="K226" s="30" t="str">
        <x:v>植物油5g</x:v>
      </x:c>
      <x:c r="L226" s="76" t="b">
        <x:v>1</x:v>
      </x:c>
      <x:c r="M226" s="30" t="str">
        <x:v>已按MDT确认的Ingredient Master min/max/step执行化；执行量变化后必须重算营养。</x:v>
      </x:c>
      <x:c r="N226" s="30" t="n">
        <x:v>5</x:v>
      </x:c>
    </x:row>
    <x:row r="227">
      <x:c r="A227" s="30" t="str">
        <x:v>P012</x:v>
      </x:c>
      <x:c r="B227" s="30" t="str">
        <x:v>牛肉西葫芦</x:v>
      </x:c>
      <x:c r="C227" s="30" t="str">
        <x:v>LINEAR_WITH_EXECUTION_ROUNDING</x:v>
      </x:c>
      <x:c r="D227" s="30" t="n">
        <x:v>1.25</x:v>
      </x:c>
      <x:c r="E227" s="30" t="str">
        <x:v>瘦牛肉</x:v>
      </x:c>
      <x:c r="F227" s="30" t="n">
        <x:v>80</x:v>
      </x:c>
      <x:c r="G227" s="30" t="str">
        <x:v>g</x:v>
      </x:c>
      <x:c r="H227" s="30" t="str">
        <x:v>raw_edible_weight</x:v>
      </x:c>
      <x:c r="I227" s="30" t="n">
        <x:v>5</x:v>
      </x:c>
      <x:c r="J227" s="30" t="n">
        <x:v>100</x:v>
      </x:c>
      <x:c r="K227" s="30" t="str">
        <x:v>瘦牛肉100g</x:v>
      </x:c>
      <x:c r="L227" s="76" t="b">
        <x:v>1</x:v>
      </x:c>
      <x:c r="M227" s="30" t="str">
        <x:v>已按MDT确认的Ingredient Master min/max/step执行化；执行量变化后必须重算营养。</x:v>
      </x:c>
      <x:c r="N227" s="30" t="n">
        <x:v>100</x:v>
      </x:c>
    </x:row>
    <x:row r="228">
      <x:c r="A228" s="30" t="str">
        <x:v>P012</x:v>
      </x:c>
      <x:c r="B228" s="30" t="str">
        <x:v>牛肉西葫芦</x:v>
      </x:c>
      <x:c r="C228" s="30" t="str">
        <x:v>LINEAR_WITH_EXECUTION_ROUNDING</x:v>
      </x:c>
      <x:c r="D228" s="30" t="n">
        <x:v>1.25</x:v>
      </x:c>
      <x:c r="E228" s="30" t="str">
        <x:v>西葫芦</x:v>
      </x:c>
      <x:c r="F228" s="30" t="n">
        <x:v>150</x:v>
      </x:c>
      <x:c r="G228" s="30" t="str">
        <x:v>g</x:v>
      </x:c>
      <x:c r="H228" s="30" t="str">
        <x:v>raw_edible_weight</x:v>
      </x:c>
      <x:c r="I228" s="30" t="n">
        <x:v>10</x:v>
      </x:c>
      <x:c r="J228" s="30" t="n">
        <x:v>187.5</x:v>
      </x:c>
      <x:c r="K228" s="30" t="str">
        <x:v>西葫芦190g</x:v>
      </x:c>
      <x:c r="L228" s="76" t="b">
        <x:v>1</x:v>
      </x:c>
      <x:c r="M228" s="30" t="str">
        <x:v>已按MDT确认的Ingredient Master min/max/step执行化；执行量变化后必须重算营养。</x:v>
      </x:c>
      <x:c r="N228" s="30" t="n">
        <x:v>190</x:v>
      </x:c>
    </x:row>
    <x:row r="229">
      <x:c r="A229" s="30" t="str">
        <x:v>P012</x:v>
      </x:c>
      <x:c r="B229" s="30" t="str">
        <x:v>牛肉西葫芦</x:v>
      </x:c>
      <x:c r="C229" s="30" t="str">
        <x:v>LINEAR_WITH_EXECUTION_ROUNDING</x:v>
      </x:c>
      <x:c r="D229" s="30" t="n">
        <x:v>1.25</x:v>
      </x:c>
      <x:c r="E229" s="30" t="str">
        <x:v>植物油</x:v>
      </x:c>
      <x:c r="F229" s="30" t="n">
        <x:v>5</x:v>
      </x:c>
      <x:c r="G229" s="30" t="str">
        <x:v>g</x:v>
      </x:c>
      <x:c r="H229" s="30" t="str">
        <x:v>added_weight</x:v>
      </x:c>
      <x:c r="I229" s="30" t="n">
        <x:v>1</x:v>
      </x:c>
      <x:c r="J229" s="30" t="n">
        <x:v>6.25</x:v>
      </x:c>
      <x:c r="K229" s="30" t="str">
        <x:v>植物油6g</x:v>
      </x:c>
      <x:c r="L229" s="76" t="b">
        <x:v>1</x:v>
      </x:c>
      <x:c r="M229" s="30" t="str">
        <x:v>已按MDT确认的Ingredient Master min/max/step执行化；执行量变化后必须重算营养。</x:v>
      </x:c>
      <x:c r="N229" s="30" t="n">
        <x:v>6</x:v>
      </x:c>
    </x:row>
    <x:row r="230">
      <x:c r="A230" s="30" t="str">
        <x:v>P012</x:v>
      </x:c>
      <x:c r="B230" s="30" t="str">
        <x:v>牛肉西葫芦</x:v>
      </x:c>
      <x:c r="C230" s="30" t="str">
        <x:v>LINEAR_WITH_EXECUTION_ROUNDING</x:v>
      </x:c>
      <x:c r="D230" s="30" t="n">
        <x:v>1.5</x:v>
      </x:c>
      <x:c r="E230" s="30" t="str">
        <x:v>瘦牛肉</x:v>
      </x:c>
      <x:c r="F230" s="30" t="n">
        <x:v>80</x:v>
      </x:c>
      <x:c r="G230" s="30" t="str">
        <x:v>g</x:v>
      </x:c>
      <x:c r="H230" s="30" t="str">
        <x:v>raw_edible_weight</x:v>
      </x:c>
      <x:c r="I230" s="30" t="n">
        <x:v>5</x:v>
      </x:c>
      <x:c r="J230" s="30" t="n">
        <x:v>120</x:v>
      </x:c>
      <x:c r="K230" s="30" t="str">
        <x:v>瘦牛肉120g</x:v>
      </x:c>
      <x:c r="L230" s="76" t="b">
        <x:v>1</x:v>
      </x:c>
      <x:c r="M230" s="30" t="str">
        <x:v>已按MDT确认的Ingredient Master min/max/step执行化；执行量变化后必须重算营养。</x:v>
      </x:c>
      <x:c r="N230" s="30" t="n">
        <x:v>120</x:v>
      </x:c>
    </x:row>
    <x:row r="231">
      <x:c r="A231" s="30" t="str">
        <x:v>P012</x:v>
      </x:c>
      <x:c r="B231" s="30" t="str">
        <x:v>牛肉西葫芦</x:v>
      </x:c>
      <x:c r="C231" s="30" t="str">
        <x:v>LINEAR_WITH_EXECUTION_ROUNDING</x:v>
      </x:c>
      <x:c r="D231" s="30" t="n">
        <x:v>1.5</x:v>
      </x:c>
      <x:c r="E231" s="30" t="str">
        <x:v>西葫芦</x:v>
      </x:c>
      <x:c r="F231" s="30" t="n">
        <x:v>150</x:v>
      </x:c>
      <x:c r="G231" s="30" t="str">
        <x:v>g</x:v>
      </x:c>
      <x:c r="H231" s="30" t="str">
        <x:v>raw_edible_weight</x:v>
      </x:c>
      <x:c r="I231" s="30" t="n">
        <x:v>10</x:v>
      </x:c>
      <x:c r="J231" s="30" t="n">
        <x:v>225</x:v>
      </x:c>
      <x:c r="K231" s="30" t="str">
        <x:v>西葫芦230g</x:v>
      </x:c>
      <x:c r="L231" s="76" t="b">
        <x:v>1</x:v>
      </x:c>
      <x:c r="M231" s="30" t="str">
        <x:v>已按MDT确认的Ingredient Master min/max/step执行化；执行量变化后必须重算营养。</x:v>
      </x:c>
      <x:c r="N231" s="30" t="n">
        <x:v>230</x:v>
      </x:c>
    </x:row>
    <x:row r="232">
      <x:c r="A232" s="30" t="str">
        <x:v>P012</x:v>
      </x:c>
      <x:c r="B232" s="30" t="str">
        <x:v>牛肉西葫芦</x:v>
      </x:c>
      <x:c r="C232" s="30" t="str">
        <x:v>LINEAR_WITH_EXECUTION_ROUNDING</x:v>
      </x:c>
      <x:c r="D232" s="30" t="n">
        <x:v>1.5</x:v>
      </x:c>
      <x:c r="E232" s="30" t="str">
        <x:v>植物油</x:v>
      </x:c>
      <x:c r="F232" s="30" t="n">
        <x:v>5</x:v>
      </x:c>
      <x:c r="G232" s="30" t="str">
        <x:v>g</x:v>
      </x:c>
      <x:c r="H232" s="30" t="str">
        <x:v>added_weight</x:v>
      </x:c>
      <x:c r="I232" s="30" t="n">
        <x:v>1</x:v>
      </x:c>
      <x:c r="J232" s="30" t="n">
        <x:v>7.5</x:v>
      </x:c>
      <x:c r="K232" s="30" t="str">
        <x:v>植物油8g</x:v>
      </x:c>
      <x:c r="L232" s="76" t="b">
        <x:v>1</x:v>
      </x:c>
      <x:c r="M232" s="30" t="str">
        <x:v>已按MDT确认的Ingredient Master min/max/step执行化；执行量变化后必须重算营养。</x:v>
      </x:c>
      <x:c r="N232" s="30" t="n">
        <x:v>8</x:v>
      </x:c>
    </x:row>
    <x:row r="233">
      <x:c r="A233" s="30" t="str">
        <x:v>P013</x:v>
      </x:c>
      <x:c r="B233" s="30" t="str">
        <x:v>冬瓜豆腐虾仁汤</x:v>
      </x:c>
      <x:c r="C233" s="30" t="str">
        <x:v>LINEAR_LIMITED_RANGE</x:v>
      </x:c>
      <x:c r="D233" s="30" t="n">
        <x:v>0.5</x:v>
      </x:c>
      <x:c r="E233" s="30"/>
      <x:c r="F233" s="30"/>
      <x:c r="G233" s="30"/>
      <x:c r="H233" s="30"/>
      <x:c r="I233" s="30"/>
      <x:c r="J233" s="30"/>
      <x:c r="K233" s="30" t="str">
        <x:v>该档位不允许整组件直接缩放</x:v>
      </x:c>
      <x:c r="L233" s="76" t="b">
        <x:v>0</x:v>
      </x:c>
      <x:c r="M233" s="30" t="str">
        <x:v>超出本组件候选执行边界。</x:v>
      </x:c>
      <x:c r="N233" s="30" t="str">
        <x:f>IF(OR(J233="",I233=""),"",ROUND(J233/I233,0)*I233)</x:f>
      </x:c>
    </x:row>
    <x:row r="234">
      <x:c r="A234" s="30" t="str">
        <x:v>P013</x:v>
      </x:c>
      <x:c r="B234" s="30" t="str">
        <x:v>冬瓜豆腐虾仁汤</x:v>
      </x:c>
      <x:c r="C234" s="30" t="str">
        <x:v>LINEAR_LIMITED_RANGE</x:v>
      </x:c>
      <x:c r="D234" s="30" t="n">
        <x:v>0.75</x:v>
      </x:c>
      <x:c r="E234" s="30" t="str">
        <x:v>虾仁</x:v>
      </x:c>
      <x:c r="F234" s="30" t="n">
        <x:v>50</x:v>
      </x:c>
      <x:c r="G234" s="30" t="str">
        <x:v>g</x:v>
      </x:c>
      <x:c r="H234" s="30" t="str">
        <x:v>raw_edible_weight</x:v>
      </x:c>
      <x:c r="I234" s="30" t="n">
        <x:v>5</x:v>
      </x:c>
      <x:c r="J234" s="30" t="n">
        <x:v>37.5</x:v>
      </x:c>
      <x:c r="K234" s="30" t="str">
        <x:v>虾仁40g</x:v>
      </x:c>
      <x:c r="L234" s="76" t="b">
        <x:v>1</x:v>
      </x:c>
      <x:c r="M234" s="30" t="str">
        <x:v>已按MDT确认的Ingredient Master min/max/step执行化；执行量变化后必须重算营养。</x:v>
      </x:c>
      <x:c r="N234" s="30" t="n">
        <x:v>40</x:v>
      </x:c>
    </x:row>
    <x:row r="235">
      <x:c r="A235" s="30" t="str">
        <x:v>P013</x:v>
      </x:c>
      <x:c r="B235" s="30" t="str">
        <x:v>冬瓜豆腐虾仁汤</x:v>
      </x:c>
      <x:c r="C235" s="30" t="str">
        <x:v>LINEAR_LIMITED_RANGE</x:v>
      </x:c>
      <x:c r="D235" s="30" t="n">
        <x:v>0.75</x:v>
      </x:c>
      <x:c r="E235" s="30" t="str">
        <x:v>北豆腐</x:v>
      </x:c>
      <x:c r="F235" s="30" t="n">
        <x:v>100</x:v>
      </x:c>
      <x:c r="G235" s="30" t="str">
        <x:v>g</x:v>
      </x:c>
      <x:c r="H235" s="30" t="str">
        <x:v>raw_edible_weight</x:v>
      </x:c>
      <x:c r="I235" s="30" t="n">
        <x:v>10</x:v>
      </x:c>
      <x:c r="J235" s="30" t="n">
        <x:v>75</x:v>
      </x:c>
      <x:c r="K235" s="30" t="str">
        <x:v>北豆腐80g</x:v>
      </x:c>
      <x:c r="L235" s="76" t="b">
        <x:v>1</x:v>
      </x:c>
      <x:c r="M235" s="30" t="str">
        <x:v>已按MDT确认的Ingredient Master min/max/step执行化；执行量变化后必须重算营养。</x:v>
      </x:c>
      <x:c r="N235" s="30" t="n">
        <x:v>80</x:v>
      </x:c>
    </x:row>
    <x:row r="236">
      <x:c r="A236" s="30" t="str">
        <x:v>P013</x:v>
      </x:c>
      <x:c r="B236" s="30" t="str">
        <x:v>冬瓜豆腐虾仁汤</x:v>
      </x:c>
      <x:c r="C236" s="30" t="str">
        <x:v>LINEAR_LIMITED_RANGE</x:v>
      </x:c>
      <x:c r="D236" s="30" t="n">
        <x:v>0.75</x:v>
      </x:c>
      <x:c r="E236" s="30" t="str">
        <x:v>冬瓜</x:v>
      </x:c>
      <x:c r="F236" s="30" t="n">
        <x:v>200</x:v>
      </x:c>
      <x:c r="G236" s="30" t="str">
        <x:v>g</x:v>
      </x:c>
      <x:c r="H236" s="30" t="str">
        <x:v>raw_edible_weight</x:v>
      </x:c>
      <x:c r="I236" s="30" t="n">
        <x:v>10</x:v>
      </x:c>
      <x:c r="J236" s="30" t="n">
        <x:v>150</x:v>
      </x:c>
      <x:c r="K236" s="30" t="str">
        <x:v>冬瓜150g</x:v>
      </x:c>
      <x:c r="L236" s="76" t="b">
        <x:v>1</x:v>
      </x:c>
      <x:c r="M236" s="30" t="str">
        <x:v>已按MDT确认的Ingredient Master min/max/step执行化；执行量变化后必须重算营养。</x:v>
      </x:c>
      <x:c r="N236" s="30" t="n">
        <x:v>150</x:v>
      </x:c>
    </x:row>
    <x:row r="237">
      <x:c r="A237" s="30" t="str">
        <x:v>P013</x:v>
      </x:c>
      <x:c r="B237" s="30" t="str">
        <x:v>冬瓜豆腐虾仁汤</x:v>
      </x:c>
      <x:c r="C237" s="30" t="str">
        <x:v>LINEAR_LIMITED_RANGE</x:v>
      </x:c>
      <x:c r="D237" s="30" t="n">
        <x:v>0.75</x:v>
      </x:c>
      <x:c r="E237" s="30" t="str">
        <x:v>植物油</x:v>
      </x:c>
      <x:c r="F237" s="30" t="n">
        <x:v>2</x:v>
      </x:c>
      <x:c r="G237" s="30" t="str">
        <x:v>g</x:v>
      </x:c>
      <x:c r="H237" s="30" t="str">
        <x:v>added_weight</x:v>
      </x:c>
      <x:c r="I237" s="30" t="n">
        <x:v>1</x:v>
      </x:c>
      <x:c r="J237" s="30" t="n">
        <x:v>1.5</x:v>
      </x:c>
      <x:c r="K237" s="30" t="str">
        <x:v>植物油2g</x:v>
      </x:c>
      <x:c r="L237" s="76" t="b">
        <x:v>1</x:v>
      </x:c>
      <x:c r="M237" s="30" t="str">
        <x:v>已按MDT确认的Ingredient Master min/max/step执行化；执行量变化后必须重算营养。</x:v>
      </x:c>
      <x:c r="N237" s="30" t="n">
        <x:v>2</x:v>
      </x:c>
    </x:row>
    <x:row r="238">
      <x:c r="A238" s="30" t="str">
        <x:v>P013</x:v>
      </x:c>
      <x:c r="B238" s="30" t="str">
        <x:v>冬瓜豆腐虾仁汤</x:v>
      </x:c>
      <x:c r="C238" s="30" t="str">
        <x:v>LINEAR_LIMITED_RANGE</x:v>
      </x:c>
      <x:c r="D238" s="30" t="n">
        <x:v>1</x:v>
      </x:c>
      <x:c r="E238" s="30" t="str">
        <x:v>虾仁</x:v>
      </x:c>
      <x:c r="F238" s="30" t="n">
        <x:v>50</x:v>
      </x:c>
      <x:c r="G238" s="30" t="str">
        <x:v>g</x:v>
      </x:c>
      <x:c r="H238" s="30" t="str">
        <x:v>raw_edible_weight</x:v>
      </x:c>
      <x:c r="I238" s="30" t="n">
        <x:v>5</x:v>
      </x:c>
      <x:c r="J238" s="30" t="n">
        <x:v>50</x:v>
      </x:c>
      <x:c r="K238" s="30" t="str">
        <x:v>虾仁50g</x:v>
      </x:c>
      <x:c r="L238" s="76" t="b">
        <x:v>1</x:v>
      </x:c>
      <x:c r="M238" s="30" t="str">
        <x:v>已按MDT确认的Ingredient Master min/max/step执行化；执行量变化后必须重算营养。</x:v>
      </x:c>
      <x:c r="N238" s="30" t="n">
        <x:v>50</x:v>
      </x:c>
    </x:row>
    <x:row r="239">
      <x:c r="A239" s="30" t="str">
        <x:v>P013</x:v>
      </x:c>
      <x:c r="B239" s="30" t="str">
        <x:v>冬瓜豆腐虾仁汤</x:v>
      </x:c>
      <x:c r="C239" s="30" t="str">
        <x:v>LINEAR_LIMITED_RANGE</x:v>
      </x:c>
      <x:c r="D239" s="30" t="n">
        <x:v>1</x:v>
      </x:c>
      <x:c r="E239" s="30" t="str">
        <x:v>北豆腐</x:v>
      </x:c>
      <x:c r="F239" s="30" t="n">
        <x:v>100</x:v>
      </x:c>
      <x:c r="G239" s="30" t="str">
        <x:v>g</x:v>
      </x:c>
      <x:c r="H239" s="30" t="str">
        <x:v>raw_edible_weight</x:v>
      </x:c>
      <x:c r="I239" s="30" t="n">
        <x:v>10</x:v>
      </x:c>
      <x:c r="J239" s="30" t="n">
        <x:v>100</x:v>
      </x:c>
      <x:c r="K239" s="30" t="str">
        <x:v>北豆腐100g</x:v>
      </x:c>
      <x:c r="L239" s="76" t="b">
        <x:v>1</x:v>
      </x:c>
      <x:c r="M239" s="30" t="str">
        <x:v>已按MDT确认的Ingredient Master min/max/step执行化；执行量变化后必须重算营养。</x:v>
      </x:c>
      <x:c r="N239" s="30" t="n">
        <x:v>100</x:v>
      </x:c>
    </x:row>
    <x:row r="240">
      <x:c r="A240" s="30" t="str">
        <x:v>P013</x:v>
      </x:c>
      <x:c r="B240" s="30" t="str">
        <x:v>冬瓜豆腐虾仁汤</x:v>
      </x:c>
      <x:c r="C240" s="30" t="str">
        <x:v>LINEAR_LIMITED_RANGE</x:v>
      </x:c>
      <x:c r="D240" s="30" t="n">
        <x:v>1</x:v>
      </x:c>
      <x:c r="E240" s="30" t="str">
        <x:v>冬瓜</x:v>
      </x:c>
      <x:c r="F240" s="30" t="n">
        <x:v>200</x:v>
      </x:c>
      <x:c r="G240" s="30" t="str">
        <x:v>g</x:v>
      </x:c>
      <x:c r="H240" s="30" t="str">
        <x:v>raw_edible_weight</x:v>
      </x:c>
      <x:c r="I240" s="30" t="n">
        <x:v>10</x:v>
      </x:c>
      <x:c r="J240" s="30" t="n">
        <x:v>200</x:v>
      </x:c>
      <x:c r="K240" s="30" t="str">
        <x:v>冬瓜200g</x:v>
      </x:c>
      <x:c r="L240" s="76" t="b">
        <x:v>1</x:v>
      </x:c>
      <x:c r="M240" s="30" t="str">
        <x:v>已按MDT确认的Ingredient Master min/max/step执行化；执行量变化后必须重算营养。</x:v>
      </x:c>
      <x:c r="N240" s="30" t="n">
        <x:v>200</x:v>
      </x:c>
    </x:row>
    <x:row r="241">
      <x:c r="A241" s="30" t="str">
        <x:v>P013</x:v>
      </x:c>
      <x:c r="B241" s="30" t="str">
        <x:v>冬瓜豆腐虾仁汤</x:v>
      </x:c>
      <x:c r="C241" s="30" t="str">
        <x:v>LINEAR_LIMITED_RANGE</x:v>
      </x:c>
      <x:c r="D241" s="30" t="n">
        <x:v>1</x:v>
      </x:c>
      <x:c r="E241" s="30" t="str">
        <x:v>植物油</x:v>
      </x:c>
      <x:c r="F241" s="30" t="n">
        <x:v>2</x:v>
      </x:c>
      <x:c r="G241" s="30" t="str">
        <x:v>g</x:v>
      </x:c>
      <x:c r="H241" s="30" t="str">
        <x:v>added_weight</x:v>
      </x:c>
      <x:c r="I241" s="30" t="n">
        <x:v>1</x:v>
      </x:c>
      <x:c r="J241" s="30" t="n">
        <x:v>2</x:v>
      </x:c>
      <x:c r="K241" s="30" t="str">
        <x:v>植物油2g</x:v>
      </x:c>
      <x:c r="L241" s="76" t="b">
        <x:v>1</x:v>
      </x:c>
      <x:c r="M241" s="30" t="str">
        <x:v>已按MDT确认的Ingredient Master min/max/step执行化；执行量变化后必须重算营养。</x:v>
      </x:c>
      <x:c r="N241" s="30" t="n">
        <x:v>2</x:v>
      </x:c>
    </x:row>
    <x:row r="242">
      <x:c r="A242" s="30" t="str">
        <x:v>P013</x:v>
      </x:c>
      <x:c r="B242" s="30" t="str">
        <x:v>冬瓜豆腐虾仁汤</x:v>
      </x:c>
      <x:c r="C242" s="30" t="str">
        <x:v>LINEAR_LIMITED_RANGE</x:v>
      </x:c>
      <x:c r="D242" s="30" t="n">
        <x:v>1.25</x:v>
      </x:c>
      <x:c r="E242" s="30" t="str">
        <x:v>虾仁</x:v>
      </x:c>
      <x:c r="F242" s="30" t="n">
        <x:v>50</x:v>
      </x:c>
      <x:c r="G242" s="30" t="str">
        <x:v>g</x:v>
      </x:c>
      <x:c r="H242" s="30" t="str">
        <x:v>raw_edible_weight</x:v>
      </x:c>
      <x:c r="I242" s="30" t="n">
        <x:v>5</x:v>
      </x:c>
      <x:c r="J242" s="30" t="n">
        <x:v>62.5</x:v>
      </x:c>
      <x:c r="K242" s="30" t="str">
        <x:v>虾仁65g</x:v>
      </x:c>
      <x:c r="L242" s="76" t="b">
        <x:v>1</x:v>
      </x:c>
      <x:c r="M242" s="30" t="str">
        <x:v>已按MDT确认的Ingredient Master min/max/step执行化；执行量变化后必须重算营养。</x:v>
      </x:c>
      <x:c r="N242" s="30" t="n">
        <x:v>65</x:v>
      </x:c>
    </x:row>
    <x:row r="243">
      <x:c r="A243" s="30" t="str">
        <x:v>P013</x:v>
      </x:c>
      <x:c r="B243" s="30" t="str">
        <x:v>冬瓜豆腐虾仁汤</x:v>
      </x:c>
      <x:c r="C243" s="30" t="str">
        <x:v>LINEAR_LIMITED_RANGE</x:v>
      </x:c>
      <x:c r="D243" s="30" t="n">
        <x:v>1.25</x:v>
      </x:c>
      <x:c r="E243" s="30" t="str">
        <x:v>北豆腐</x:v>
      </x:c>
      <x:c r="F243" s="30" t="n">
        <x:v>100</x:v>
      </x:c>
      <x:c r="G243" s="30" t="str">
        <x:v>g</x:v>
      </x:c>
      <x:c r="H243" s="30" t="str">
        <x:v>raw_edible_weight</x:v>
      </x:c>
      <x:c r="I243" s="30" t="n">
        <x:v>10</x:v>
      </x:c>
      <x:c r="J243" s="30" t="n">
        <x:v>125</x:v>
      </x:c>
      <x:c r="K243" s="30" t="str">
        <x:v>北豆腐130g</x:v>
      </x:c>
      <x:c r="L243" s="76" t="b">
        <x:v>1</x:v>
      </x:c>
      <x:c r="M243" s="30" t="str">
        <x:v>已按MDT确认的Ingredient Master min/max/step执行化；执行量变化后必须重算营养。</x:v>
      </x:c>
      <x:c r="N243" s="30" t="n">
        <x:v>130</x:v>
      </x:c>
    </x:row>
    <x:row r="244">
      <x:c r="A244" s="30" t="str">
        <x:v>P013</x:v>
      </x:c>
      <x:c r="B244" s="30" t="str">
        <x:v>冬瓜豆腐虾仁汤</x:v>
      </x:c>
      <x:c r="C244" s="30" t="str">
        <x:v>LINEAR_LIMITED_RANGE</x:v>
      </x:c>
      <x:c r="D244" s="30" t="n">
        <x:v>1.25</x:v>
      </x:c>
      <x:c r="E244" s="30" t="str">
        <x:v>冬瓜</x:v>
      </x:c>
      <x:c r="F244" s="30" t="n">
        <x:v>200</x:v>
      </x:c>
      <x:c r="G244" s="30" t="str">
        <x:v>g</x:v>
      </x:c>
      <x:c r="H244" s="30" t="str">
        <x:v>raw_edible_weight</x:v>
      </x:c>
      <x:c r="I244" s="30" t="n">
        <x:v>10</x:v>
      </x:c>
      <x:c r="J244" s="30" t="n">
        <x:v>250</x:v>
      </x:c>
      <x:c r="K244" s="30" t="str">
        <x:v>冬瓜250g</x:v>
      </x:c>
      <x:c r="L244" s="76" t="b">
        <x:v>1</x:v>
      </x:c>
      <x:c r="M244" s="30" t="str">
        <x:v>已按MDT确认的Ingredient Master min/max/step执行化；执行量变化后必须重算营养。</x:v>
      </x:c>
      <x:c r="N244" s="30" t="n">
        <x:v>250</x:v>
      </x:c>
    </x:row>
    <x:row r="245">
      <x:c r="A245" s="30" t="str">
        <x:v>P013</x:v>
      </x:c>
      <x:c r="B245" s="30" t="str">
        <x:v>冬瓜豆腐虾仁汤</x:v>
      </x:c>
      <x:c r="C245" s="30" t="str">
        <x:v>LINEAR_LIMITED_RANGE</x:v>
      </x:c>
      <x:c r="D245" s="30" t="n">
        <x:v>1.25</x:v>
      </x:c>
      <x:c r="E245" s="30" t="str">
        <x:v>植物油</x:v>
      </x:c>
      <x:c r="F245" s="30" t="n">
        <x:v>2</x:v>
      </x:c>
      <x:c r="G245" s="30" t="str">
        <x:v>g</x:v>
      </x:c>
      <x:c r="H245" s="30" t="str">
        <x:v>added_weight</x:v>
      </x:c>
      <x:c r="I245" s="30" t="n">
        <x:v>1</x:v>
      </x:c>
      <x:c r="J245" s="30" t="n">
        <x:v>2.5</x:v>
      </x:c>
      <x:c r="K245" s="30" t="str">
        <x:v>植物油3g</x:v>
      </x:c>
      <x:c r="L245" s="76" t="b">
        <x:v>1</x:v>
      </x:c>
      <x:c r="M245" s="30" t="str">
        <x:v>已按MDT确认的Ingredient Master min/max/step执行化；执行量变化后必须重算营养。</x:v>
      </x:c>
      <x:c r="N245" s="30" t="n">
        <x:v>3</x:v>
      </x:c>
    </x:row>
    <x:row r="246">
      <x:c r="A246" s="30" t="str">
        <x:v>P013</x:v>
      </x:c>
      <x:c r="B246" s="30" t="str">
        <x:v>冬瓜豆腐虾仁汤</x:v>
      </x:c>
      <x:c r="C246" s="30" t="str">
        <x:v>LINEAR_LIMITED_RANGE</x:v>
      </x:c>
      <x:c r="D246" s="30" t="n">
        <x:v>1.5</x:v>
      </x:c>
      <x:c r="E246" s="30"/>
      <x:c r="F246" s="30"/>
      <x:c r="G246" s="30"/>
      <x:c r="H246" s="30"/>
      <x:c r="I246" s="30"/>
      <x:c r="J246" s="30"/>
      <x:c r="K246" s="30" t="str">
        <x:v>该档位不允许整组件直接缩放</x:v>
      </x:c>
      <x:c r="L246" s="76" t="b">
        <x:v>0</x:v>
      </x:c>
      <x:c r="M246" s="30" t="str">
        <x:v>超出本组件候选执行边界。</x:v>
      </x:c>
      <x:c r="N246" s="30" t="str">
        <x:f>IF(OR(J246="",I246=""),"",ROUND(J246/I246,0)*I246)</x:f>
      </x:c>
    </x:row>
    <x:row r="247">
      <x:c r="A247" s="30" t="str">
        <x:v>P014</x:v>
      </x:c>
      <x:c r="B247" s="30" t="str">
        <x:v>鸡蛋豆腐羹</x:v>
      </x:c>
      <x:c r="C247" s="30" t="str">
        <x:v>FIXED_COMPOSITE_NO_DIRECT_SCALING</x:v>
      </x:c>
      <x:c r="D247" s="30" t="n">
        <x:v>0.5</x:v>
      </x:c>
      <x:c r="E247" s="30"/>
      <x:c r="F247" s="30"/>
      <x:c r="G247" s="30"/>
      <x:c r="H247" s="30"/>
      <x:c r="I247" s="30"/>
      <x:c r="J247" s="30"/>
      <x:c r="K247" s="30" t="str">
        <x:v>该档位不允许整组件直接缩放</x:v>
      </x:c>
      <x:c r="L247" s="76" t="b">
        <x:v>0</x:v>
      </x:c>
      <x:c r="M247" s="30" t="str">
        <x:v>改用其他标准组件或拆分为单食物对象后重算；禁止患者端显示该份数。</x:v>
      </x:c>
      <x:c r="N247" s="30" t="str">
        <x:f>IF(OR(J247="",I247=""),"",ROUND(J247/I247,0)*I247)</x:f>
      </x:c>
    </x:row>
    <x:row r="248">
      <x:c r="A248" s="30" t="str">
        <x:v>P014</x:v>
      </x:c>
      <x:c r="B248" s="30" t="str">
        <x:v>鸡蛋豆腐羹</x:v>
      </x:c>
      <x:c r="C248" s="30" t="str">
        <x:v>FIXED_COMPOSITE_NO_DIRECT_SCALING</x:v>
      </x:c>
      <x:c r="D248" s="30" t="n">
        <x:v>0.75</x:v>
      </x:c>
      <x:c r="E248" s="30"/>
      <x:c r="F248" s="30"/>
      <x:c r="G248" s="30"/>
      <x:c r="H248" s="30"/>
      <x:c r="I248" s="30"/>
      <x:c r="J248" s="30"/>
      <x:c r="K248" s="30" t="str">
        <x:v>该档位不允许整组件直接缩放</x:v>
      </x:c>
      <x:c r="L248" s="76" t="b">
        <x:v>0</x:v>
      </x:c>
      <x:c r="M248" s="30" t="str">
        <x:v>改用其他标准组件或拆分为单食物对象后重算；禁止患者端显示该份数。</x:v>
      </x:c>
      <x:c r="N248" s="30" t="str">
        <x:f>IF(OR(J248="",I248=""),"",ROUND(J248/I248,0)*I248)</x:f>
      </x:c>
    </x:row>
    <x:row r="249">
      <x:c r="A249" s="30" t="str">
        <x:v>P014</x:v>
      </x:c>
      <x:c r="B249" s="30" t="str">
        <x:v>鸡蛋豆腐羹</x:v>
      </x:c>
      <x:c r="C249" s="30" t="str">
        <x:v>FIXED_COMPOSITE_NO_DIRECT_SCALING</x:v>
      </x:c>
      <x:c r="D249" s="30" t="n">
        <x:v>1</x:v>
      </x:c>
      <x:c r="E249" s="30" t="str">
        <x:v>鸡蛋</x:v>
      </x:c>
      <x:c r="F249" s="30" t="n">
        <x:v>50</x:v>
      </x:c>
      <x:c r="G249" s="30" t="str">
        <x:v>g</x:v>
      </x:c>
      <x:c r="H249" s="30" t="str">
        <x:v>whole_unit + edible_weight</x:v>
      </x:c>
      <x:c r="I249" s="30" t="n">
        <x:v>50</x:v>
      </x:c>
      <x:c r="J249" s="30" t="n">
        <x:v>50</x:v>
      </x:c>
      <x:c r="K249" s="30" t="str">
        <x:v>鸡蛋1个（约50g可食部）</x:v>
      </x:c>
      <x:c r="L249" s="76" t="b">
        <x:v>1</x:v>
      </x:c>
      <x:c r="M249" s="30" t="str">
        <x:v>已按MDT确认的Ingredient Master min/max/step执行化；执行量变化后必须重算营养。</x:v>
      </x:c>
      <x:c r="N249" s="30" t="n">
        <x:v>50</x:v>
      </x:c>
    </x:row>
    <x:row r="250">
      <x:c r="A250" s="30" t="str">
        <x:v>P014</x:v>
      </x:c>
      <x:c r="B250" s="30" t="str">
        <x:v>鸡蛋豆腐羹</x:v>
      </x:c>
      <x:c r="C250" s="30" t="str">
        <x:v>FIXED_COMPOSITE_NO_DIRECT_SCALING</x:v>
      </x:c>
      <x:c r="D250" s="30" t="n">
        <x:v>1</x:v>
      </x:c>
      <x:c r="E250" s="30" t="str">
        <x:v>北豆腐</x:v>
      </x:c>
      <x:c r="F250" s="30" t="n">
        <x:v>100</x:v>
      </x:c>
      <x:c r="G250" s="30" t="str">
        <x:v>g</x:v>
      </x:c>
      <x:c r="H250" s="30" t="str">
        <x:v>raw_edible_weight</x:v>
      </x:c>
      <x:c r="I250" s="30" t="n">
        <x:v>10</x:v>
      </x:c>
      <x:c r="J250" s="30" t="n">
        <x:v>100</x:v>
      </x:c>
      <x:c r="K250" s="30" t="str">
        <x:v>北豆腐100g</x:v>
      </x:c>
      <x:c r="L250" s="76" t="b">
        <x:v>1</x:v>
      </x:c>
      <x:c r="M250" s="30" t="str">
        <x:v>已按MDT确认的Ingredient Master min/max/step执行化；执行量变化后必须重算营养。</x:v>
      </x:c>
      <x:c r="N250" s="30" t="n">
        <x:v>100</x:v>
      </x:c>
    </x:row>
    <x:row r="251">
      <x:c r="A251" s="30" t="str">
        <x:v>P014</x:v>
      </x:c>
      <x:c r="B251" s="30" t="str">
        <x:v>鸡蛋豆腐羹</x:v>
      </x:c>
      <x:c r="C251" s="30" t="str">
        <x:v>FIXED_COMPOSITE_NO_DIRECT_SCALING</x:v>
      </x:c>
      <x:c r="D251" s="30" t="n">
        <x:v>1</x:v>
      </x:c>
      <x:c r="E251" s="30" t="str">
        <x:v>植物油</x:v>
      </x:c>
      <x:c r="F251" s="30" t="n">
        <x:v>2</x:v>
      </x:c>
      <x:c r="G251" s="30" t="str">
        <x:v>g</x:v>
      </x:c>
      <x:c r="H251" s="30" t="str">
        <x:v>added_weight</x:v>
      </x:c>
      <x:c r="I251" s="30" t="n">
        <x:v>1</x:v>
      </x:c>
      <x:c r="J251" s="30" t="n">
        <x:v>2</x:v>
      </x:c>
      <x:c r="K251" s="30" t="str">
        <x:v>植物油2g</x:v>
      </x:c>
      <x:c r="L251" s="76" t="b">
        <x:v>1</x:v>
      </x:c>
      <x:c r="M251" s="30" t="str">
        <x:v>已按MDT确认的Ingredient Master min/max/step执行化；执行量变化后必须重算营养。</x:v>
      </x:c>
      <x:c r="N251" s="30" t="n">
        <x:v>2</x:v>
      </x:c>
    </x:row>
    <x:row r="252">
      <x:c r="A252" s="30" t="str">
        <x:v>P014</x:v>
      </x:c>
      <x:c r="B252" s="30" t="str">
        <x:v>鸡蛋豆腐羹</x:v>
      </x:c>
      <x:c r="C252" s="30" t="str">
        <x:v>FIXED_COMPOSITE_NO_DIRECT_SCALING</x:v>
      </x:c>
      <x:c r="D252" s="30" t="n">
        <x:v>1.25</x:v>
      </x:c>
      <x:c r="E252" s="30"/>
      <x:c r="F252" s="30"/>
      <x:c r="G252" s="30"/>
      <x:c r="H252" s="30"/>
      <x:c r="I252" s="30"/>
      <x:c r="J252" s="30"/>
      <x:c r="K252" s="30" t="str">
        <x:v>该档位不允许整组件直接缩放</x:v>
      </x:c>
      <x:c r="L252" s="76" t="b">
        <x:v>0</x:v>
      </x:c>
      <x:c r="M252" s="30" t="str">
        <x:v>改用其他标准组件或拆分为单食物对象后重算；禁止患者端显示该份数。</x:v>
      </x:c>
      <x:c r="N252" s="30" t="str">
        <x:f>IF(OR(J252="",I252=""),"",ROUND(J252/I252,0)*I252)</x:f>
      </x:c>
    </x:row>
    <x:row r="253">
      <x:c r="A253" s="30" t="str">
        <x:v>P014</x:v>
      </x:c>
      <x:c r="B253" s="30" t="str">
        <x:v>鸡蛋豆腐羹</x:v>
      </x:c>
      <x:c r="C253" s="30" t="str">
        <x:v>FIXED_COMPOSITE_NO_DIRECT_SCALING</x:v>
      </x:c>
      <x:c r="D253" s="30" t="n">
        <x:v>1.5</x:v>
      </x:c>
      <x:c r="E253" s="30"/>
      <x:c r="F253" s="30"/>
      <x:c r="G253" s="30"/>
      <x:c r="H253" s="30"/>
      <x:c r="I253" s="30"/>
      <x:c r="J253" s="30"/>
      <x:c r="K253" s="30" t="str">
        <x:v>该档位不允许整组件直接缩放</x:v>
      </x:c>
      <x:c r="L253" s="76" t="b">
        <x:v>0</x:v>
      </x:c>
      <x:c r="M253" s="30" t="str">
        <x:v>改用其他标准组件或拆分为单食物对象后重算；禁止患者端显示该份数。</x:v>
      </x:c>
      <x:c r="N253" s="30" t="str">
        <x:f>IF(OR(J253="",I253=""),"",ROUND(J253/I253,0)*I253)</x:f>
      </x:c>
    </x:row>
    <x:row r="254">
      <x:c r="A254" s="30" t="str">
        <x:v>P015</x:v>
      </x:c>
      <x:c r="B254" s="30" t="str">
        <x:v>低脂奶蛋组合</x:v>
      </x:c>
      <x:c r="C254" s="30" t="str">
        <x:v>FIXED_COMPOSITE_NO_DIRECT_SCALING</x:v>
      </x:c>
      <x:c r="D254" s="30" t="n">
        <x:v>0.5</x:v>
      </x:c>
      <x:c r="E254" s="30"/>
      <x:c r="F254" s="30"/>
      <x:c r="G254" s="30"/>
      <x:c r="H254" s="30"/>
      <x:c r="I254" s="30"/>
      <x:c r="J254" s="30"/>
      <x:c r="K254" s="30" t="str">
        <x:v>该档位不允许整组件直接缩放</x:v>
      </x:c>
      <x:c r="L254" s="76" t="b">
        <x:v>0</x:v>
      </x:c>
      <x:c r="M254" s="30" t="str">
        <x:v>改用其他标准组件或拆分为单食物对象后重算；禁止患者端显示该份数。</x:v>
      </x:c>
      <x:c r="N254" s="30" t="str">
        <x:f>IF(OR(J254="",I254=""),"",ROUND(J254/I254,0)*I254)</x:f>
      </x:c>
    </x:row>
    <x:row r="255">
      <x:c r="A255" s="30" t="str">
        <x:v>P015</x:v>
      </x:c>
      <x:c r="B255" s="30" t="str">
        <x:v>低脂奶蛋组合</x:v>
      </x:c>
      <x:c r="C255" s="30" t="str">
        <x:v>FIXED_COMPOSITE_NO_DIRECT_SCALING</x:v>
      </x:c>
      <x:c r="D255" s="30" t="n">
        <x:v>0.75</x:v>
      </x:c>
      <x:c r="E255" s="30"/>
      <x:c r="F255" s="30"/>
      <x:c r="G255" s="30"/>
      <x:c r="H255" s="30"/>
      <x:c r="I255" s="30"/>
      <x:c r="J255" s="30"/>
      <x:c r="K255" s="30" t="str">
        <x:v>该档位不允许整组件直接缩放</x:v>
      </x:c>
      <x:c r="L255" s="76" t="b">
        <x:v>0</x:v>
      </x:c>
      <x:c r="M255" s="30" t="str">
        <x:v>改用其他标准组件或拆分为单食物对象后重算；禁止患者端显示该份数。</x:v>
      </x:c>
      <x:c r="N255" s="30" t="str">
        <x:f>IF(OR(J255="",I255=""),"",ROUND(J255/I255,0)*I255)</x:f>
      </x:c>
    </x:row>
    <x:row r="256">
      <x:c r="A256" s="30" t="str">
        <x:v>P015</x:v>
      </x:c>
      <x:c r="B256" s="30" t="str">
        <x:v>低脂奶蛋组合</x:v>
      </x:c>
      <x:c r="C256" s="30" t="str">
        <x:v>FIXED_COMPOSITE_NO_DIRECT_SCALING</x:v>
      </x:c>
      <x:c r="D256" s="30" t="n">
        <x:v>1</x:v>
      </x:c>
      <x:c r="E256" s="30" t="str">
        <x:v>低脂牛奶</x:v>
      </x:c>
      <x:c r="F256" s="30" t="n">
        <x:v>250</x:v>
      </x:c>
      <x:c r="G256" s="30" t="str">
        <x:v>ml</x:v>
      </x:c>
      <x:c r="H256" s="30" t="str">
        <x:v>package_volume</x:v>
      </x:c>
      <x:c r="I256" s="30" t="n">
        <x:v>50</x:v>
      </x:c>
      <x:c r="J256" s="30" t="n">
        <x:v>250</x:v>
      </x:c>
      <x:c r="K256" s="30" t="str">
        <x:v>低脂牛奶250ml</x:v>
      </x:c>
      <x:c r="L256" s="76" t="b">
        <x:v>1</x:v>
      </x:c>
      <x:c r="M256" s="30" t="str">
        <x:v>已按MDT确认的Ingredient Master min/max/step执行化；执行量变化后必须重算营养。</x:v>
      </x:c>
      <x:c r="N256" s="30" t="n">
        <x:v>250</x:v>
      </x:c>
    </x:row>
    <x:row r="257">
      <x:c r="A257" s="30" t="str">
        <x:v>P015</x:v>
      </x:c>
      <x:c r="B257" s="30" t="str">
        <x:v>低脂奶蛋组合</x:v>
      </x:c>
      <x:c r="C257" s="30" t="str">
        <x:v>FIXED_COMPOSITE_NO_DIRECT_SCALING</x:v>
      </x:c>
      <x:c r="D257" s="30" t="n">
        <x:v>1</x:v>
      </x:c>
      <x:c r="E257" s="30" t="str">
        <x:v>鸡蛋</x:v>
      </x:c>
      <x:c r="F257" s="30" t="n">
        <x:v>50</x:v>
      </x:c>
      <x:c r="G257" s="30" t="str">
        <x:v>g</x:v>
      </x:c>
      <x:c r="H257" s="30" t="str">
        <x:v>whole_unit + edible_weight</x:v>
      </x:c>
      <x:c r="I257" s="30" t="n">
        <x:v>50</x:v>
      </x:c>
      <x:c r="J257" s="30" t="n">
        <x:v>50</x:v>
      </x:c>
      <x:c r="K257" s="30" t="str">
        <x:v>鸡蛋1个（约50g可食部）</x:v>
      </x:c>
      <x:c r="L257" s="76" t="b">
        <x:v>1</x:v>
      </x:c>
      <x:c r="M257" s="30" t="str">
        <x:v>已按MDT确认的Ingredient Master min/max/step执行化；执行量变化后必须重算营养。</x:v>
      </x:c>
      <x:c r="N257" s="30" t="n">
        <x:v>50</x:v>
      </x:c>
    </x:row>
    <x:row r="258">
      <x:c r="A258" s="30" t="str">
        <x:v>P015</x:v>
      </x:c>
      <x:c r="B258" s="30" t="str">
        <x:v>低脂奶蛋组合</x:v>
      </x:c>
      <x:c r="C258" s="30" t="str">
        <x:v>FIXED_COMPOSITE_NO_DIRECT_SCALING</x:v>
      </x:c>
      <x:c r="D258" s="30" t="n">
        <x:v>1.25</x:v>
      </x:c>
      <x:c r="E258" s="30"/>
      <x:c r="F258" s="30"/>
      <x:c r="G258" s="30"/>
      <x:c r="H258" s="30"/>
      <x:c r="I258" s="30"/>
      <x:c r="J258" s="30"/>
      <x:c r="K258" s="30" t="str">
        <x:v>该档位不允许整组件直接缩放</x:v>
      </x:c>
      <x:c r="L258" s="76" t="b">
        <x:v>0</x:v>
      </x:c>
      <x:c r="M258" s="30" t="str">
        <x:v>改用其他标准组件或拆分为单食物对象后重算；禁止患者端显示该份数。</x:v>
      </x:c>
      <x:c r="N258" s="30" t="str">
        <x:f>IF(OR(J258="",I258=""),"",ROUND(J258/I258,0)*I258)</x:f>
      </x:c>
    </x:row>
    <x:row r="259">
      <x:c r="A259" s="30" t="str">
        <x:v>P015</x:v>
      </x:c>
      <x:c r="B259" s="30" t="str">
        <x:v>低脂奶蛋组合</x:v>
      </x:c>
      <x:c r="C259" s="30" t="str">
        <x:v>FIXED_COMPOSITE_NO_DIRECT_SCALING</x:v>
      </x:c>
      <x:c r="D259" s="30" t="n">
        <x:v>1.5</x:v>
      </x:c>
      <x:c r="E259" s="30"/>
      <x:c r="F259" s="30"/>
      <x:c r="G259" s="30"/>
      <x:c r="H259" s="30"/>
      <x:c r="I259" s="30"/>
      <x:c r="J259" s="30"/>
      <x:c r="K259" s="30" t="str">
        <x:v>该档位不允许整组件直接缩放</x:v>
      </x:c>
      <x:c r="L259" s="76" t="b">
        <x:v>0</x:v>
      </x:c>
      <x:c r="M259" s="30" t="str">
        <x:v>改用其他标准组件或拆分为单食物对象后重算；禁止患者端显示该份数。</x:v>
      </x:c>
      <x:c r="N259" s="30" t="str">
        <x:f>IF(OR(J259="",I259=""),"",ROUND(J259/I259,0)*I259)</x:f>
      </x:c>
    </x:row>
    <x:row r="260">
      <x:c r="A260" s="30" t="str">
        <x:v>V001</x:v>
      </x:c>
      <x:c r="B260" s="30" t="str">
        <x:v>蒜香西兰花</x:v>
      </x:c>
      <x:c r="C260" s="30" t="str">
        <x:v>LINEAR_VEGETABLE_LIMITED</x:v>
      </x:c>
      <x:c r="D260" s="30" t="n">
        <x:v>0.5</x:v>
      </x:c>
      <x:c r="E260" s="30" t="str">
        <x:v>西兰花</x:v>
      </x:c>
      <x:c r="F260" s="30" t="n">
        <x:v>200</x:v>
      </x:c>
      <x:c r="G260" s="30" t="str">
        <x:v>g</x:v>
      </x:c>
      <x:c r="H260" s="30" t="str">
        <x:v>raw_edible_weight</x:v>
      </x:c>
      <x:c r="I260" s="30" t="n">
        <x:v>10</x:v>
      </x:c>
      <x:c r="J260" s="30" t="n">
        <x:v>100</x:v>
      </x:c>
      <x:c r="K260" s="30" t="str">
        <x:v>西兰花100g</x:v>
      </x:c>
      <x:c r="L260" s="76" t="b">
        <x:v>1</x:v>
      </x:c>
      <x:c r="M260" s="30" t="str">
        <x:v>已按MDT确认的Ingredient Master min/max/step执行化；执行量变化后必须重算营养。</x:v>
      </x:c>
      <x:c r="N260" s="30" t="n">
        <x:v>100</x:v>
      </x:c>
    </x:row>
    <x:row r="261">
      <x:c r="A261" s="30" t="str">
        <x:v>V001</x:v>
      </x:c>
      <x:c r="B261" s="30" t="str">
        <x:v>蒜香西兰花</x:v>
      </x:c>
      <x:c r="C261" s="30" t="str">
        <x:v>LINEAR_VEGETABLE_LIMITED</x:v>
      </x:c>
      <x:c r="D261" s="30" t="n">
        <x:v>0.5</x:v>
      </x:c>
      <x:c r="E261" s="30" t="str">
        <x:v>植物油</x:v>
      </x:c>
      <x:c r="F261" s="30" t="n">
        <x:v>5</x:v>
      </x:c>
      <x:c r="G261" s="30" t="str">
        <x:v>g</x:v>
      </x:c>
      <x:c r="H261" s="30" t="str">
        <x:v>added_weight</x:v>
      </x:c>
      <x:c r="I261" s="30" t="n">
        <x:v>1</x:v>
      </x:c>
      <x:c r="J261" s="30" t="n">
        <x:v>2.5</x:v>
      </x:c>
      <x:c r="K261" s="30" t="str">
        <x:v>植物油3g</x:v>
      </x:c>
      <x:c r="L261" s="76" t="b">
        <x:v>1</x:v>
      </x:c>
      <x:c r="M261" s="30" t="str">
        <x:v>已按MDT确认的Ingredient Master min/max/step执行化；执行量变化后必须重算营养。</x:v>
      </x:c>
      <x:c r="N261" s="30" t="n">
        <x:v>3</x:v>
      </x:c>
    </x:row>
    <x:row r="262">
      <x:c r="A262" s="30" t="str">
        <x:v>V001</x:v>
      </x:c>
      <x:c r="B262" s="30" t="str">
        <x:v>蒜香西兰花</x:v>
      </x:c>
      <x:c r="C262" s="30" t="str">
        <x:v>LINEAR_VEGETABLE_LIMITED</x:v>
      </x:c>
      <x:c r="D262" s="30" t="n">
        <x:v>0.75</x:v>
      </x:c>
      <x:c r="E262" s="30" t="str">
        <x:v>西兰花</x:v>
      </x:c>
      <x:c r="F262" s="30" t="n">
        <x:v>200</x:v>
      </x:c>
      <x:c r="G262" s="30" t="str">
        <x:v>g</x:v>
      </x:c>
      <x:c r="H262" s="30" t="str">
        <x:v>raw_edible_weight</x:v>
      </x:c>
      <x:c r="I262" s="30" t="n">
        <x:v>10</x:v>
      </x:c>
      <x:c r="J262" s="30" t="n">
        <x:v>150</x:v>
      </x:c>
      <x:c r="K262" s="30" t="str">
        <x:v>西兰花150g</x:v>
      </x:c>
      <x:c r="L262" s="76" t="b">
        <x:v>1</x:v>
      </x:c>
      <x:c r="M262" s="30" t="str">
        <x:v>已按MDT确认的Ingredient Master min/max/step执行化；执行量变化后必须重算营养。</x:v>
      </x:c>
      <x:c r="N262" s="30" t="n">
        <x:v>150</x:v>
      </x:c>
    </x:row>
    <x:row r="263">
      <x:c r="A263" s="30" t="str">
        <x:v>V001</x:v>
      </x:c>
      <x:c r="B263" s="30" t="str">
        <x:v>蒜香西兰花</x:v>
      </x:c>
      <x:c r="C263" s="30" t="str">
        <x:v>LINEAR_VEGETABLE_LIMITED</x:v>
      </x:c>
      <x:c r="D263" s="30" t="n">
        <x:v>0.75</x:v>
      </x:c>
      <x:c r="E263" s="30" t="str">
        <x:v>植物油</x:v>
      </x:c>
      <x:c r="F263" s="30" t="n">
        <x:v>5</x:v>
      </x:c>
      <x:c r="G263" s="30" t="str">
        <x:v>g</x:v>
      </x:c>
      <x:c r="H263" s="30" t="str">
        <x:v>added_weight</x:v>
      </x:c>
      <x:c r="I263" s="30" t="n">
        <x:v>1</x:v>
      </x:c>
      <x:c r="J263" s="30" t="n">
        <x:v>3.75</x:v>
      </x:c>
      <x:c r="K263" s="30" t="str">
        <x:v>植物油4g</x:v>
      </x:c>
      <x:c r="L263" s="76" t="b">
        <x:v>1</x:v>
      </x:c>
      <x:c r="M263" s="30" t="str">
        <x:v>已按MDT确认的Ingredient Master min/max/step执行化；执行量变化后必须重算营养。</x:v>
      </x:c>
      <x:c r="N263" s="30" t="n">
        <x:v>4</x:v>
      </x:c>
    </x:row>
    <x:row r="264">
      <x:c r="A264" s="30" t="str">
        <x:v>V001</x:v>
      </x:c>
      <x:c r="B264" s="30" t="str">
        <x:v>蒜香西兰花</x:v>
      </x:c>
      <x:c r="C264" s="30" t="str">
        <x:v>LINEAR_VEGETABLE_LIMITED</x:v>
      </x:c>
      <x:c r="D264" s="30" t="n">
        <x:v>1</x:v>
      </x:c>
      <x:c r="E264" s="30" t="str">
        <x:v>西兰花</x:v>
      </x:c>
      <x:c r="F264" s="30" t="n">
        <x:v>200</x:v>
      </x:c>
      <x:c r="G264" s="30" t="str">
        <x:v>g</x:v>
      </x:c>
      <x:c r="H264" s="30" t="str">
        <x:v>raw_edible_weight</x:v>
      </x:c>
      <x:c r="I264" s="30" t="n">
        <x:v>10</x:v>
      </x:c>
      <x:c r="J264" s="30" t="n">
        <x:v>200</x:v>
      </x:c>
      <x:c r="K264" s="30" t="str">
        <x:v>西兰花200g</x:v>
      </x:c>
      <x:c r="L264" s="76" t="b">
        <x:v>1</x:v>
      </x:c>
      <x:c r="M264" s="30" t="str">
        <x:v>已按MDT确认的Ingredient Master min/max/step执行化；执行量变化后必须重算营养。</x:v>
      </x:c>
      <x:c r="N264" s="30" t="n">
        <x:v>200</x:v>
      </x:c>
    </x:row>
    <x:row r="265">
      <x:c r="A265" s="30" t="str">
        <x:v>V001</x:v>
      </x:c>
      <x:c r="B265" s="30" t="str">
        <x:v>蒜香西兰花</x:v>
      </x:c>
      <x:c r="C265" s="30" t="str">
        <x:v>LINEAR_VEGETABLE_LIMITED</x:v>
      </x:c>
      <x:c r="D265" s="30" t="n">
        <x:v>1</x:v>
      </x:c>
      <x:c r="E265" s="30" t="str">
        <x:v>植物油</x:v>
      </x:c>
      <x:c r="F265" s="30" t="n">
        <x:v>5</x:v>
      </x:c>
      <x:c r="G265" s="30" t="str">
        <x:v>g</x:v>
      </x:c>
      <x:c r="H265" s="30" t="str">
        <x:v>added_weight</x:v>
      </x:c>
      <x:c r="I265" s="30" t="n">
        <x:v>1</x:v>
      </x:c>
      <x:c r="J265" s="30" t="n">
        <x:v>5</x:v>
      </x:c>
      <x:c r="K265" s="30" t="str">
        <x:v>植物油5g</x:v>
      </x:c>
      <x:c r="L265" s="76" t="b">
        <x:v>1</x:v>
      </x:c>
      <x:c r="M265" s="30" t="str">
        <x:v>已按MDT确认的Ingredient Master min/max/step执行化；执行量变化后必须重算营养。</x:v>
      </x:c>
      <x:c r="N265" s="30" t="n">
        <x:v>5</x:v>
      </x:c>
    </x:row>
    <x:row r="266">
      <x:c r="A266" s="30" t="str">
        <x:v>V001</x:v>
      </x:c>
      <x:c r="B266" s="30" t="str">
        <x:v>蒜香西兰花</x:v>
      </x:c>
      <x:c r="C266" s="30" t="str">
        <x:v>LINEAR_VEGETABLE_LIMITED</x:v>
      </x:c>
      <x:c r="D266" s="30" t="n">
        <x:v>1.25</x:v>
      </x:c>
      <x:c r="E266" s="30" t="str">
        <x:v>西兰花</x:v>
      </x:c>
      <x:c r="F266" s="30" t="n">
        <x:v>200</x:v>
      </x:c>
      <x:c r="G266" s="30" t="str">
        <x:v>g</x:v>
      </x:c>
      <x:c r="H266" s="30" t="str">
        <x:v>raw_edible_weight</x:v>
      </x:c>
      <x:c r="I266" s="30" t="n">
        <x:v>10</x:v>
      </x:c>
      <x:c r="J266" s="30" t="n">
        <x:v>250</x:v>
      </x:c>
      <x:c r="K266" s="30" t="str">
        <x:v>西兰花250g</x:v>
      </x:c>
      <x:c r="L266" s="76" t="b">
        <x:v>1</x:v>
      </x:c>
      <x:c r="M266" s="30" t="str">
        <x:v>已按MDT确认的Ingredient Master min/max/step执行化；执行量变化后必须重算营养。</x:v>
      </x:c>
      <x:c r="N266" s="30" t="n">
        <x:v>250</x:v>
      </x:c>
    </x:row>
    <x:row r="267">
      <x:c r="A267" s="30" t="str">
        <x:v>V001</x:v>
      </x:c>
      <x:c r="B267" s="30" t="str">
        <x:v>蒜香西兰花</x:v>
      </x:c>
      <x:c r="C267" s="30" t="str">
        <x:v>LINEAR_VEGETABLE_LIMITED</x:v>
      </x:c>
      <x:c r="D267" s="30" t="n">
        <x:v>1.25</x:v>
      </x:c>
      <x:c r="E267" s="30" t="str">
        <x:v>植物油</x:v>
      </x:c>
      <x:c r="F267" s="30" t="n">
        <x:v>5</x:v>
      </x:c>
      <x:c r="G267" s="30" t="str">
        <x:v>g</x:v>
      </x:c>
      <x:c r="H267" s="30" t="str">
        <x:v>added_weight</x:v>
      </x:c>
      <x:c r="I267" s="30" t="n">
        <x:v>1</x:v>
      </x:c>
      <x:c r="J267" s="30" t="n">
        <x:v>6.25</x:v>
      </x:c>
      <x:c r="K267" s="30" t="str">
        <x:v>植物油6g</x:v>
      </x:c>
      <x:c r="L267" s="76" t="b">
        <x:v>1</x:v>
      </x:c>
      <x:c r="M267" s="30" t="str">
        <x:v>已按MDT确认的Ingredient Master min/max/step执行化；执行量变化后必须重算营养。</x:v>
      </x:c>
      <x:c r="N267" s="30" t="n">
        <x:v>6</x:v>
      </x:c>
    </x:row>
    <x:row r="268">
      <x:c r="A268" s="30" t="str">
        <x:v>V001</x:v>
      </x:c>
      <x:c r="B268" s="30" t="str">
        <x:v>蒜香西兰花</x:v>
      </x:c>
      <x:c r="C268" s="30" t="str">
        <x:v>LINEAR_VEGETABLE_LIMITED</x:v>
      </x:c>
      <x:c r="D268" s="30" t="n">
        <x:v>1.5</x:v>
      </x:c>
      <x:c r="E268" s="30"/>
      <x:c r="F268" s="30"/>
      <x:c r="G268" s="30"/>
      <x:c r="H268" s="30"/>
      <x:c r="I268" s="30"/>
      <x:c r="J268" s="30"/>
      <x:c r="K268" s="30" t="str">
        <x:v>该档位不允许整组件直接缩放</x:v>
      </x:c>
      <x:c r="L268" s="76" t="b">
        <x:v>0</x:v>
      </x:c>
      <x:c r="M268" s="30" t="str">
        <x:v>超出本组件候选执行边界。</x:v>
      </x:c>
      <x:c r="N268" s="30" t="str">
        <x:f>IF(OR(J268="",I268=""),"",ROUND(J268/I268,0)*I268)</x:f>
      </x:c>
    </x:row>
    <x:row r="269">
      <x:c r="A269" s="30" t="str">
        <x:v>V002</x:v>
      </x:c>
      <x:c r="B269" s="30" t="str">
        <x:v>清炒菠菜</x:v>
      </x:c>
      <x:c r="C269" s="30" t="str">
        <x:v>LINEAR_VEGETABLE_LIMITED</x:v>
      </x:c>
      <x:c r="D269" s="30" t="n">
        <x:v>0.5</x:v>
      </x:c>
      <x:c r="E269" s="30" t="str">
        <x:v>菠菜</x:v>
      </x:c>
      <x:c r="F269" s="30" t="n">
        <x:v>200</x:v>
      </x:c>
      <x:c r="G269" s="30" t="str">
        <x:v>g</x:v>
      </x:c>
      <x:c r="H269" s="30" t="str">
        <x:v>raw_edible_weight</x:v>
      </x:c>
      <x:c r="I269" s="30" t="n">
        <x:v>10</x:v>
      </x:c>
      <x:c r="J269" s="30" t="n">
        <x:v>100</x:v>
      </x:c>
      <x:c r="K269" s="30" t="str">
        <x:v>菠菜100g</x:v>
      </x:c>
      <x:c r="L269" s="76" t="b">
        <x:v>1</x:v>
      </x:c>
      <x:c r="M269" s="30" t="str">
        <x:v>已按MDT确认的Ingredient Master min/max/step执行化；执行量变化后必须重算营养。</x:v>
      </x:c>
      <x:c r="N269" s="30" t="n">
        <x:v>100</x:v>
      </x:c>
    </x:row>
    <x:row r="270">
      <x:c r="A270" s="30" t="str">
        <x:v>V002</x:v>
      </x:c>
      <x:c r="B270" s="30" t="str">
        <x:v>清炒菠菜</x:v>
      </x:c>
      <x:c r="C270" s="30" t="str">
        <x:v>LINEAR_VEGETABLE_LIMITED</x:v>
      </x:c>
      <x:c r="D270" s="30" t="n">
        <x:v>0.5</x:v>
      </x:c>
      <x:c r="E270" s="30" t="str">
        <x:v>植物油</x:v>
      </x:c>
      <x:c r="F270" s="30" t="n">
        <x:v>5</x:v>
      </x:c>
      <x:c r="G270" s="30" t="str">
        <x:v>g</x:v>
      </x:c>
      <x:c r="H270" s="30" t="str">
        <x:v>added_weight</x:v>
      </x:c>
      <x:c r="I270" s="30" t="n">
        <x:v>1</x:v>
      </x:c>
      <x:c r="J270" s="30" t="n">
        <x:v>2.5</x:v>
      </x:c>
      <x:c r="K270" s="30" t="str">
        <x:v>植物油3g</x:v>
      </x:c>
      <x:c r="L270" s="76" t="b">
        <x:v>1</x:v>
      </x:c>
      <x:c r="M270" s="30" t="str">
        <x:v>已按MDT确认的Ingredient Master min/max/step执行化；执行量变化后必须重算营养。</x:v>
      </x:c>
      <x:c r="N270" s="30" t="n">
        <x:v>3</x:v>
      </x:c>
    </x:row>
    <x:row r="271">
      <x:c r="A271" s="30" t="str">
        <x:v>V002</x:v>
      </x:c>
      <x:c r="B271" s="30" t="str">
        <x:v>清炒菠菜</x:v>
      </x:c>
      <x:c r="C271" s="30" t="str">
        <x:v>LINEAR_VEGETABLE_LIMITED</x:v>
      </x:c>
      <x:c r="D271" s="30" t="n">
        <x:v>0.75</x:v>
      </x:c>
      <x:c r="E271" s="30" t="str">
        <x:v>菠菜</x:v>
      </x:c>
      <x:c r="F271" s="30" t="n">
        <x:v>200</x:v>
      </x:c>
      <x:c r="G271" s="30" t="str">
        <x:v>g</x:v>
      </x:c>
      <x:c r="H271" s="30" t="str">
        <x:v>raw_edible_weight</x:v>
      </x:c>
      <x:c r="I271" s="30" t="n">
        <x:v>10</x:v>
      </x:c>
      <x:c r="J271" s="30" t="n">
        <x:v>150</x:v>
      </x:c>
      <x:c r="K271" s="30" t="str">
        <x:v>菠菜150g</x:v>
      </x:c>
      <x:c r="L271" s="76" t="b">
        <x:v>1</x:v>
      </x:c>
      <x:c r="M271" s="30" t="str">
        <x:v>已按MDT确认的Ingredient Master min/max/step执行化；执行量变化后必须重算营养。</x:v>
      </x:c>
      <x:c r="N271" s="30" t="n">
        <x:v>150</x:v>
      </x:c>
    </x:row>
    <x:row r="272">
      <x:c r="A272" s="30" t="str">
        <x:v>V002</x:v>
      </x:c>
      <x:c r="B272" s="30" t="str">
        <x:v>清炒菠菜</x:v>
      </x:c>
      <x:c r="C272" s="30" t="str">
        <x:v>LINEAR_VEGETABLE_LIMITED</x:v>
      </x:c>
      <x:c r="D272" s="30" t="n">
        <x:v>0.75</x:v>
      </x:c>
      <x:c r="E272" s="30" t="str">
        <x:v>植物油</x:v>
      </x:c>
      <x:c r="F272" s="30" t="n">
        <x:v>5</x:v>
      </x:c>
      <x:c r="G272" s="30" t="str">
        <x:v>g</x:v>
      </x:c>
      <x:c r="H272" s="30" t="str">
        <x:v>added_weight</x:v>
      </x:c>
      <x:c r="I272" s="30" t="n">
        <x:v>1</x:v>
      </x:c>
      <x:c r="J272" s="30" t="n">
        <x:v>3.75</x:v>
      </x:c>
      <x:c r="K272" s="30" t="str">
        <x:v>植物油4g</x:v>
      </x:c>
      <x:c r="L272" s="76" t="b">
        <x:v>1</x:v>
      </x:c>
      <x:c r="M272" s="30" t="str">
        <x:v>已按MDT确认的Ingredient Master min/max/step执行化；执行量变化后必须重算营养。</x:v>
      </x:c>
      <x:c r="N272" s="30" t="n">
        <x:v>4</x:v>
      </x:c>
    </x:row>
    <x:row r="273">
      <x:c r="A273" s="30" t="str">
        <x:v>V002</x:v>
      </x:c>
      <x:c r="B273" s="30" t="str">
        <x:v>清炒菠菜</x:v>
      </x:c>
      <x:c r="C273" s="30" t="str">
        <x:v>LINEAR_VEGETABLE_LIMITED</x:v>
      </x:c>
      <x:c r="D273" s="30" t="n">
        <x:v>1</x:v>
      </x:c>
      <x:c r="E273" s="30" t="str">
        <x:v>菠菜</x:v>
      </x:c>
      <x:c r="F273" s="30" t="n">
        <x:v>200</x:v>
      </x:c>
      <x:c r="G273" s="30" t="str">
        <x:v>g</x:v>
      </x:c>
      <x:c r="H273" s="30" t="str">
        <x:v>raw_edible_weight</x:v>
      </x:c>
      <x:c r="I273" s="30" t="n">
        <x:v>10</x:v>
      </x:c>
      <x:c r="J273" s="30" t="n">
        <x:v>200</x:v>
      </x:c>
      <x:c r="K273" s="30" t="str">
        <x:v>菠菜200g</x:v>
      </x:c>
      <x:c r="L273" s="76" t="b">
        <x:v>1</x:v>
      </x:c>
      <x:c r="M273" s="30" t="str">
        <x:v>已按MDT确认的Ingredient Master min/max/step执行化；执行量变化后必须重算营养。</x:v>
      </x:c>
      <x:c r="N273" s="30" t="n">
        <x:v>200</x:v>
      </x:c>
    </x:row>
    <x:row r="274">
      <x:c r="A274" s="30" t="str">
        <x:v>V002</x:v>
      </x:c>
      <x:c r="B274" s="30" t="str">
        <x:v>清炒菠菜</x:v>
      </x:c>
      <x:c r="C274" s="30" t="str">
        <x:v>LINEAR_VEGETABLE_LIMITED</x:v>
      </x:c>
      <x:c r="D274" s="30" t="n">
        <x:v>1</x:v>
      </x:c>
      <x:c r="E274" s="30" t="str">
        <x:v>植物油</x:v>
      </x:c>
      <x:c r="F274" s="30" t="n">
        <x:v>5</x:v>
      </x:c>
      <x:c r="G274" s="30" t="str">
        <x:v>g</x:v>
      </x:c>
      <x:c r="H274" s="30" t="str">
        <x:v>added_weight</x:v>
      </x:c>
      <x:c r="I274" s="30" t="n">
        <x:v>1</x:v>
      </x:c>
      <x:c r="J274" s="30" t="n">
        <x:v>5</x:v>
      </x:c>
      <x:c r="K274" s="30" t="str">
        <x:v>植物油5g</x:v>
      </x:c>
      <x:c r="L274" s="76" t="b">
        <x:v>1</x:v>
      </x:c>
      <x:c r="M274" s="30" t="str">
        <x:v>已按MDT确认的Ingredient Master min/max/step执行化；执行量变化后必须重算营养。</x:v>
      </x:c>
      <x:c r="N274" s="30" t="n">
        <x:v>5</x:v>
      </x:c>
    </x:row>
    <x:row r="275">
      <x:c r="A275" s="30" t="str">
        <x:v>V002</x:v>
      </x:c>
      <x:c r="B275" s="30" t="str">
        <x:v>清炒菠菜</x:v>
      </x:c>
      <x:c r="C275" s="30" t="str">
        <x:v>LINEAR_VEGETABLE_LIMITED</x:v>
      </x:c>
      <x:c r="D275" s="30" t="n">
        <x:v>1.25</x:v>
      </x:c>
      <x:c r="E275" s="30" t="str">
        <x:v>菠菜</x:v>
      </x:c>
      <x:c r="F275" s="30" t="n">
        <x:v>200</x:v>
      </x:c>
      <x:c r="G275" s="30" t="str">
        <x:v>g</x:v>
      </x:c>
      <x:c r="H275" s="30" t="str">
        <x:v>raw_edible_weight</x:v>
      </x:c>
      <x:c r="I275" s="30" t="n">
        <x:v>10</x:v>
      </x:c>
      <x:c r="J275" s="30" t="n">
        <x:v>250</x:v>
      </x:c>
      <x:c r="K275" s="30" t="str">
        <x:v>菠菜250g</x:v>
      </x:c>
      <x:c r="L275" s="76" t="b">
        <x:v>1</x:v>
      </x:c>
      <x:c r="M275" s="30" t="str">
        <x:v>已按MDT确认的Ingredient Master min/max/step执行化；执行量变化后必须重算营养。</x:v>
      </x:c>
      <x:c r="N275" s="30" t="n">
        <x:v>250</x:v>
      </x:c>
    </x:row>
    <x:row r="276">
      <x:c r="A276" s="30" t="str">
        <x:v>V002</x:v>
      </x:c>
      <x:c r="B276" s="30" t="str">
        <x:v>清炒菠菜</x:v>
      </x:c>
      <x:c r="C276" s="30" t="str">
        <x:v>LINEAR_VEGETABLE_LIMITED</x:v>
      </x:c>
      <x:c r="D276" s="30" t="n">
        <x:v>1.25</x:v>
      </x:c>
      <x:c r="E276" s="30" t="str">
        <x:v>植物油</x:v>
      </x:c>
      <x:c r="F276" s="30" t="n">
        <x:v>5</x:v>
      </x:c>
      <x:c r="G276" s="30" t="str">
        <x:v>g</x:v>
      </x:c>
      <x:c r="H276" s="30" t="str">
        <x:v>added_weight</x:v>
      </x:c>
      <x:c r="I276" s="30" t="n">
        <x:v>1</x:v>
      </x:c>
      <x:c r="J276" s="30" t="n">
        <x:v>6.25</x:v>
      </x:c>
      <x:c r="K276" s="30" t="str">
        <x:v>植物油6g</x:v>
      </x:c>
      <x:c r="L276" s="76" t="b">
        <x:v>1</x:v>
      </x:c>
      <x:c r="M276" s="30" t="str">
        <x:v>已按MDT确认的Ingredient Master min/max/step执行化；执行量变化后必须重算营养。</x:v>
      </x:c>
      <x:c r="N276" s="30" t="n">
        <x:v>6</x:v>
      </x:c>
    </x:row>
    <x:row r="277">
      <x:c r="A277" s="30" t="str">
        <x:v>V002</x:v>
      </x:c>
      <x:c r="B277" s="30" t="str">
        <x:v>清炒菠菜</x:v>
      </x:c>
      <x:c r="C277" s="30" t="str">
        <x:v>LINEAR_VEGETABLE_LIMITED</x:v>
      </x:c>
      <x:c r="D277" s="30" t="n">
        <x:v>1.5</x:v>
      </x:c>
      <x:c r="E277" s="30"/>
      <x:c r="F277" s="30"/>
      <x:c r="G277" s="30"/>
      <x:c r="H277" s="30"/>
      <x:c r="I277" s="30"/>
      <x:c r="J277" s="30"/>
      <x:c r="K277" s="30" t="str">
        <x:v>该档位不允许整组件直接缩放</x:v>
      </x:c>
      <x:c r="L277" s="76" t="b">
        <x:v>0</x:v>
      </x:c>
      <x:c r="M277" s="30" t="str">
        <x:v>超出本组件候选执行边界。</x:v>
      </x:c>
      <x:c r="N277" s="30" t="str">
        <x:f>IF(OR(J277="",I277=""),"",ROUND(J277/I277,0)*I277)</x:f>
      </x:c>
    </x:row>
    <x:row r="278">
      <x:c r="A278" s="30" t="str">
        <x:v>V003</x:v>
      </x:c>
      <x:c r="B278" s="30" t="str">
        <x:v>香菇油麦菜</x:v>
      </x:c>
      <x:c r="C278" s="30" t="str">
        <x:v>LINEAR_VEGETABLE_LIMITED</x:v>
      </x:c>
      <x:c r="D278" s="30" t="n">
        <x:v>0.5</x:v>
      </x:c>
      <x:c r="E278" s="30" t="str">
        <x:v>油麦菜</x:v>
      </x:c>
      <x:c r="F278" s="30" t="n">
        <x:v>180</x:v>
      </x:c>
      <x:c r="G278" s="30" t="str">
        <x:v>g</x:v>
      </x:c>
      <x:c r="H278" s="30" t="str">
        <x:v>raw_edible_weight</x:v>
      </x:c>
      <x:c r="I278" s="30" t="n">
        <x:v>10</x:v>
      </x:c>
      <x:c r="J278" s="30" t="n">
        <x:v>90</x:v>
      </x:c>
      <x:c r="K278" s="30" t="str">
        <x:v>油麦菜90g</x:v>
      </x:c>
      <x:c r="L278" s="76" t="b">
        <x:v>1</x:v>
      </x:c>
      <x:c r="M278" s="30" t="str">
        <x:v>已按MDT确认的Ingredient Master min/max/step执行化；执行量变化后必须重算营养。</x:v>
      </x:c>
      <x:c r="N278" s="30" t="n">
        <x:v>90</x:v>
      </x:c>
    </x:row>
    <x:row r="279">
      <x:c r="A279" s="30" t="str">
        <x:v>V003</x:v>
      </x:c>
      <x:c r="B279" s="30" t="str">
        <x:v>香菇油麦菜</x:v>
      </x:c>
      <x:c r="C279" s="30" t="str">
        <x:v>LINEAR_VEGETABLE_LIMITED</x:v>
      </x:c>
      <x:c r="D279" s="30" t="n">
        <x:v>0.5</x:v>
      </x:c>
      <x:c r="E279" s="30" t="str">
        <x:v>香菇鲜</x:v>
      </x:c>
      <x:c r="F279" s="30" t="n">
        <x:v>80</x:v>
      </x:c>
      <x:c r="G279" s="30" t="str">
        <x:v>g</x:v>
      </x:c>
      <x:c r="H279" s="30" t="str">
        <x:v>raw_edible_weight</x:v>
      </x:c>
      <x:c r="I279" s="30" t="n">
        <x:v>10</x:v>
      </x:c>
      <x:c r="J279" s="30" t="n">
        <x:v>40</x:v>
      </x:c>
      <x:c r="K279" s="30" t="str">
        <x:v>香菇鲜40g</x:v>
      </x:c>
      <x:c r="L279" s="76" t="b">
        <x:v>1</x:v>
      </x:c>
      <x:c r="M279" s="30" t="str">
        <x:v>已按MDT确认的Ingredient Master min/max/step执行化；执行量变化后必须重算营养。</x:v>
      </x:c>
      <x:c r="N279" s="30" t="n">
        <x:v>40</x:v>
      </x:c>
    </x:row>
    <x:row r="280">
      <x:c r="A280" s="30" t="str">
        <x:v>V003</x:v>
      </x:c>
      <x:c r="B280" s="30" t="str">
        <x:v>香菇油麦菜</x:v>
      </x:c>
      <x:c r="C280" s="30" t="str">
        <x:v>LINEAR_VEGETABLE_LIMITED</x:v>
      </x:c>
      <x:c r="D280" s="30" t="n">
        <x:v>0.5</x:v>
      </x:c>
      <x:c r="E280" s="30" t="str">
        <x:v>植物油</x:v>
      </x:c>
      <x:c r="F280" s="30" t="n">
        <x:v>5</x:v>
      </x:c>
      <x:c r="G280" s="30" t="str">
        <x:v>g</x:v>
      </x:c>
      <x:c r="H280" s="30" t="str">
        <x:v>added_weight</x:v>
      </x:c>
      <x:c r="I280" s="30" t="n">
        <x:v>1</x:v>
      </x:c>
      <x:c r="J280" s="30" t="n">
        <x:v>2.5</x:v>
      </x:c>
      <x:c r="K280" s="30" t="str">
        <x:v>植物油3g</x:v>
      </x:c>
      <x:c r="L280" s="76" t="b">
        <x:v>1</x:v>
      </x:c>
      <x:c r="M280" s="30" t="str">
        <x:v>已按MDT确认的Ingredient Master min/max/step执行化；执行量变化后必须重算营养。</x:v>
      </x:c>
      <x:c r="N280" s="30" t="n">
        <x:v>3</x:v>
      </x:c>
    </x:row>
    <x:row r="281">
      <x:c r="A281" s="30" t="str">
        <x:v>V003</x:v>
      </x:c>
      <x:c r="B281" s="30" t="str">
        <x:v>香菇油麦菜</x:v>
      </x:c>
      <x:c r="C281" s="30" t="str">
        <x:v>LINEAR_VEGETABLE_LIMITED</x:v>
      </x:c>
      <x:c r="D281" s="30" t="n">
        <x:v>0.75</x:v>
      </x:c>
      <x:c r="E281" s="30" t="str">
        <x:v>油麦菜</x:v>
      </x:c>
      <x:c r="F281" s="30" t="n">
        <x:v>180</x:v>
      </x:c>
      <x:c r="G281" s="30" t="str">
        <x:v>g</x:v>
      </x:c>
      <x:c r="H281" s="30" t="str">
        <x:v>raw_edible_weight</x:v>
      </x:c>
      <x:c r="I281" s="30" t="n">
        <x:v>10</x:v>
      </x:c>
      <x:c r="J281" s="30" t="n">
        <x:v>135</x:v>
      </x:c>
      <x:c r="K281" s="30" t="str">
        <x:v>油麦菜140g</x:v>
      </x:c>
      <x:c r="L281" s="76" t="b">
        <x:v>1</x:v>
      </x:c>
      <x:c r="M281" s="30" t="str">
        <x:v>已按MDT确认的Ingredient Master min/max/step执行化；执行量变化后必须重算营养。</x:v>
      </x:c>
      <x:c r="N281" s="30" t="n">
        <x:v>140</x:v>
      </x:c>
    </x:row>
    <x:row r="282">
      <x:c r="A282" s="30" t="str">
        <x:v>V003</x:v>
      </x:c>
      <x:c r="B282" s="30" t="str">
        <x:v>香菇油麦菜</x:v>
      </x:c>
      <x:c r="C282" s="30" t="str">
        <x:v>LINEAR_VEGETABLE_LIMITED</x:v>
      </x:c>
      <x:c r="D282" s="30" t="n">
        <x:v>0.75</x:v>
      </x:c>
      <x:c r="E282" s="30" t="str">
        <x:v>香菇鲜</x:v>
      </x:c>
      <x:c r="F282" s="30" t="n">
        <x:v>80</x:v>
      </x:c>
      <x:c r="G282" s="30" t="str">
        <x:v>g</x:v>
      </x:c>
      <x:c r="H282" s="30" t="str">
        <x:v>raw_edible_weight</x:v>
      </x:c>
      <x:c r="I282" s="30" t="n">
        <x:v>10</x:v>
      </x:c>
      <x:c r="J282" s="30" t="n">
        <x:v>60</x:v>
      </x:c>
      <x:c r="K282" s="30" t="str">
        <x:v>香菇鲜60g</x:v>
      </x:c>
      <x:c r="L282" s="76" t="b">
        <x:v>1</x:v>
      </x:c>
      <x:c r="M282" s="30" t="str">
        <x:v>已按MDT确认的Ingredient Master min/max/step执行化；执行量变化后必须重算营养。</x:v>
      </x:c>
      <x:c r="N282" s="30" t="n">
        <x:v>60</x:v>
      </x:c>
    </x:row>
    <x:row r="283">
      <x:c r="A283" s="30" t="str">
        <x:v>V003</x:v>
      </x:c>
      <x:c r="B283" s="30" t="str">
        <x:v>香菇油麦菜</x:v>
      </x:c>
      <x:c r="C283" s="30" t="str">
        <x:v>LINEAR_VEGETABLE_LIMITED</x:v>
      </x:c>
      <x:c r="D283" s="30" t="n">
        <x:v>0.75</x:v>
      </x:c>
      <x:c r="E283" s="30" t="str">
        <x:v>植物油</x:v>
      </x:c>
      <x:c r="F283" s="30" t="n">
        <x:v>5</x:v>
      </x:c>
      <x:c r="G283" s="30" t="str">
        <x:v>g</x:v>
      </x:c>
      <x:c r="H283" s="30" t="str">
        <x:v>added_weight</x:v>
      </x:c>
      <x:c r="I283" s="30" t="n">
        <x:v>1</x:v>
      </x:c>
      <x:c r="J283" s="30" t="n">
        <x:v>3.75</x:v>
      </x:c>
      <x:c r="K283" s="30" t="str">
        <x:v>植物油4g</x:v>
      </x:c>
      <x:c r="L283" s="76" t="b">
        <x:v>1</x:v>
      </x:c>
      <x:c r="M283" s="30" t="str">
        <x:v>已按MDT确认的Ingredient Master min/max/step执行化；执行量变化后必须重算营养。</x:v>
      </x:c>
      <x:c r="N283" s="30" t="n">
        <x:v>4</x:v>
      </x:c>
    </x:row>
    <x:row r="284">
      <x:c r="A284" s="30" t="str">
        <x:v>V003</x:v>
      </x:c>
      <x:c r="B284" s="30" t="str">
        <x:v>香菇油麦菜</x:v>
      </x:c>
      <x:c r="C284" s="30" t="str">
        <x:v>LINEAR_VEGETABLE_LIMITED</x:v>
      </x:c>
      <x:c r="D284" s="30" t="n">
        <x:v>1</x:v>
      </x:c>
      <x:c r="E284" s="30" t="str">
        <x:v>油麦菜</x:v>
      </x:c>
      <x:c r="F284" s="30" t="n">
        <x:v>180</x:v>
      </x:c>
      <x:c r="G284" s="30" t="str">
        <x:v>g</x:v>
      </x:c>
      <x:c r="H284" s="30" t="str">
        <x:v>raw_edible_weight</x:v>
      </x:c>
      <x:c r="I284" s="30" t="n">
        <x:v>10</x:v>
      </x:c>
      <x:c r="J284" s="30" t="n">
        <x:v>180</x:v>
      </x:c>
      <x:c r="K284" s="30" t="str">
        <x:v>油麦菜180g</x:v>
      </x:c>
      <x:c r="L284" s="76" t="b">
        <x:v>1</x:v>
      </x:c>
      <x:c r="M284" s="30" t="str">
        <x:v>已按MDT确认的Ingredient Master min/max/step执行化；执行量变化后必须重算营养。</x:v>
      </x:c>
      <x:c r="N284" s="30" t="n">
        <x:v>180</x:v>
      </x:c>
    </x:row>
    <x:row r="285">
      <x:c r="A285" s="30" t="str">
        <x:v>V003</x:v>
      </x:c>
      <x:c r="B285" s="30" t="str">
        <x:v>香菇油麦菜</x:v>
      </x:c>
      <x:c r="C285" s="30" t="str">
        <x:v>LINEAR_VEGETABLE_LIMITED</x:v>
      </x:c>
      <x:c r="D285" s="30" t="n">
        <x:v>1</x:v>
      </x:c>
      <x:c r="E285" s="30" t="str">
        <x:v>香菇鲜</x:v>
      </x:c>
      <x:c r="F285" s="30" t="n">
        <x:v>80</x:v>
      </x:c>
      <x:c r="G285" s="30" t="str">
        <x:v>g</x:v>
      </x:c>
      <x:c r="H285" s="30" t="str">
        <x:v>raw_edible_weight</x:v>
      </x:c>
      <x:c r="I285" s="30" t="n">
        <x:v>10</x:v>
      </x:c>
      <x:c r="J285" s="30" t="n">
        <x:v>80</x:v>
      </x:c>
      <x:c r="K285" s="30" t="str">
        <x:v>香菇鲜80g</x:v>
      </x:c>
      <x:c r="L285" s="76" t="b">
        <x:v>1</x:v>
      </x:c>
      <x:c r="M285" s="30" t="str">
        <x:v>已按MDT确认的Ingredient Master min/max/step执行化；执行量变化后必须重算营养。</x:v>
      </x:c>
      <x:c r="N285" s="30" t="n">
        <x:v>80</x:v>
      </x:c>
    </x:row>
    <x:row r="286">
      <x:c r="A286" s="30" t="str">
        <x:v>V003</x:v>
      </x:c>
      <x:c r="B286" s="30" t="str">
        <x:v>香菇油麦菜</x:v>
      </x:c>
      <x:c r="C286" s="30" t="str">
        <x:v>LINEAR_VEGETABLE_LIMITED</x:v>
      </x:c>
      <x:c r="D286" s="30" t="n">
        <x:v>1</x:v>
      </x:c>
      <x:c r="E286" s="30" t="str">
        <x:v>植物油</x:v>
      </x:c>
      <x:c r="F286" s="30" t="n">
        <x:v>5</x:v>
      </x:c>
      <x:c r="G286" s="30" t="str">
        <x:v>g</x:v>
      </x:c>
      <x:c r="H286" s="30" t="str">
        <x:v>added_weight</x:v>
      </x:c>
      <x:c r="I286" s="30" t="n">
        <x:v>1</x:v>
      </x:c>
      <x:c r="J286" s="30" t="n">
        <x:v>5</x:v>
      </x:c>
      <x:c r="K286" s="30" t="str">
        <x:v>植物油5g</x:v>
      </x:c>
      <x:c r="L286" s="76" t="b">
        <x:v>1</x:v>
      </x:c>
      <x:c r="M286" s="30" t="str">
        <x:v>已按MDT确认的Ingredient Master min/max/step执行化；执行量变化后必须重算营养。</x:v>
      </x:c>
      <x:c r="N286" s="30" t="n">
        <x:v>5</x:v>
      </x:c>
    </x:row>
    <x:row r="287">
      <x:c r="A287" s="30" t="str">
        <x:v>V003</x:v>
      </x:c>
      <x:c r="B287" s="30" t="str">
        <x:v>香菇油麦菜</x:v>
      </x:c>
      <x:c r="C287" s="30" t="str">
        <x:v>LINEAR_VEGETABLE_LIMITED</x:v>
      </x:c>
      <x:c r="D287" s="30" t="n">
        <x:v>1.25</x:v>
      </x:c>
      <x:c r="E287" s="30" t="str">
        <x:v>油麦菜</x:v>
      </x:c>
      <x:c r="F287" s="30" t="n">
        <x:v>180</x:v>
      </x:c>
      <x:c r="G287" s="30" t="str">
        <x:v>g</x:v>
      </x:c>
      <x:c r="H287" s="30" t="str">
        <x:v>raw_edible_weight</x:v>
      </x:c>
      <x:c r="I287" s="30" t="n">
        <x:v>10</x:v>
      </x:c>
      <x:c r="J287" s="30" t="n">
        <x:v>225</x:v>
      </x:c>
      <x:c r="K287" s="30" t="str">
        <x:v>油麦菜230g</x:v>
      </x:c>
      <x:c r="L287" s="76" t="b">
        <x:v>1</x:v>
      </x:c>
      <x:c r="M287" s="30" t="str">
        <x:v>已按MDT确认的Ingredient Master min/max/step执行化；执行量变化后必须重算营养。</x:v>
      </x:c>
      <x:c r="N287" s="30" t="n">
        <x:v>230</x:v>
      </x:c>
    </x:row>
    <x:row r="288">
      <x:c r="A288" s="30" t="str">
        <x:v>V003</x:v>
      </x:c>
      <x:c r="B288" s="30" t="str">
        <x:v>香菇油麦菜</x:v>
      </x:c>
      <x:c r="C288" s="30" t="str">
        <x:v>LINEAR_VEGETABLE_LIMITED</x:v>
      </x:c>
      <x:c r="D288" s="30" t="n">
        <x:v>1.25</x:v>
      </x:c>
      <x:c r="E288" s="30" t="str">
        <x:v>香菇鲜</x:v>
      </x:c>
      <x:c r="F288" s="30" t="n">
        <x:v>80</x:v>
      </x:c>
      <x:c r="G288" s="30" t="str">
        <x:v>g</x:v>
      </x:c>
      <x:c r="H288" s="30" t="str">
        <x:v>raw_edible_weight</x:v>
      </x:c>
      <x:c r="I288" s="30" t="n">
        <x:v>10</x:v>
      </x:c>
      <x:c r="J288" s="30" t="n">
        <x:v>100</x:v>
      </x:c>
      <x:c r="K288" s="30" t="str">
        <x:v>香菇鲜100g</x:v>
      </x:c>
      <x:c r="L288" s="76" t="b">
        <x:v>1</x:v>
      </x:c>
      <x:c r="M288" s="30" t="str">
        <x:v>已按MDT确认的Ingredient Master min/max/step执行化；执行量变化后必须重算营养。</x:v>
      </x:c>
      <x:c r="N288" s="30" t="n">
        <x:v>100</x:v>
      </x:c>
    </x:row>
    <x:row r="289">
      <x:c r="A289" s="30" t="str">
        <x:v>V003</x:v>
      </x:c>
      <x:c r="B289" s="30" t="str">
        <x:v>香菇油麦菜</x:v>
      </x:c>
      <x:c r="C289" s="30" t="str">
        <x:v>LINEAR_VEGETABLE_LIMITED</x:v>
      </x:c>
      <x:c r="D289" s="30" t="n">
        <x:v>1.25</x:v>
      </x:c>
      <x:c r="E289" s="30" t="str">
        <x:v>植物油</x:v>
      </x:c>
      <x:c r="F289" s="30" t="n">
        <x:v>5</x:v>
      </x:c>
      <x:c r="G289" s="30" t="str">
        <x:v>g</x:v>
      </x:c>
      <x:c r="H289" s="30" t="str">
        <x:v>added_weight</x:v>
      </x:c>
      <x:c r="I289" s="30" t="n">
        <x:v>1</x:v>
      </x:c>
      <x:c r="J289" s="30" t="n">
        <x:v>6.25</x:v>
      </x:c>
      <x:c r="K289" s="30" t="str">
        <x:v>植物油6g</x:v>
      </x:c>
      <x:c r="L289" s="76" t="b">
        <x:v>1</x:v>
      </x:c>
      <x:c r="M289" s="30" t="str">
        <x:v>已按MDT确认的Ingredient Master min/max/step执行化；执行量变化后必须重算营养。</x:v>
      </x:c>
      <x:c r="N289" s="30" t="n">
        <x:v>6</x:v>
      </x:c>
    </x:row>
    <x:row r="290">
      <x:c r="A290" s="30" t="str">
        <x:v>V003</x:v>
      </x:c>
      <x:c r="B290" s="30" t="str">
        <x:v>香菇油麦菜</x:v>
      </x:c>
      <x:c r="C290" s="30" t="str">
        <x:v>LINEAR_VEGETABLE_LIMITED</x:v>
      </x:c>
      <x:c r="D290" s="30" t="n">
        <x:v>1.5</x:v>
      </x:c>
      <x:c r="E290" s="30"/>
      <x:c r="F290" s="30"/>
      <x:c r="G290" s="30"/>
      <x:c r="H290" s="30"/>
      <x:c r="I290" s="30"/>
      <x:c r="J290" s="30"/>
      <x:c r="K290" s="30" t="str">
        <x:v>该档位不允许整组件直接缩放</x:v>
      </x:c>
      <x:c r="L290" s="76" t="b">
        <x:v>0</x:v>
      </x:c>
      <x:c r="M290" s="30" t="str">
        <x:v>超出本组件候选执行边界。</x:v>
      </x:c>
      <x:c r="N290" s="30" t="str">
        <x:f>IF(OR(J290="",I290=""),"",ROUND(J290/I290,0)*I290)</x:f>
      </x:c>
    </x:row>
    <x:row r="291">
      <x:c r="A291" s="30" t="str">
        <x:v>V004</x:v>
      </x:c>
      <x:c r="B291" s="30" t="str">
        <x:v>清炒圆白菜</x:v>
      </x:c>
      <x:c r="C291" s="30" t="str">
        <x:v>LINEAR_VEGETABLE_LIMITED</x:v>
      </x:c>
      <x:c r="D291" s="30" t="n">
        <x:v>0.5</x:v>
      </x:c>
      <x:c r="E291" s="30" t="str">
        <x:v>圆白菜</x:v>
      </x:c>
      <x:c r="F291" s="30" t="n">
        <x:v>200</x:v>
      </x:c>
      <x:c r="G291" s="30" t="str">
        <x:v>g</x:v>
      </x:c>
      <x:c r="H291" s="30" t="str">
        <x:v>raw_edible_weight</x:v>
      </x:c>
      <x:c r="I291" s="30" t="n">
        <x:v>10</x:v>
      </x:c>
      <x:c r="J291" s="30" t="n">
        <x:v>100</x:v>
      </x:c>
      <x:c r="K291" s="30" t="str">
        <x:v>圆白菜100g</x:v>
      </x:c>
      <x:c r="L291" s="76" t="b">
        <x:v>1</x:v>
      </x:c>
      <x:c r="M291" s="30" t="str">
        <x:v>已按MDT确认的Ingredient Master min/max/step执行化；执行量变化后必须重算营养。</x:v>
      </x:c>
      <x:c r="N291" s="30" t="n">
        <x:v>100</x:v>
      </x:c>
    </x:row>
    <x:row r="292">
      <x:c r="A292" s="30" t="str">
        <x:v>V004</x:v>
      </x:c>
      <x:c r="B292" s="30" t="str">
        <x:v>清炒圆白菜</x:v>
      </x:c>
      <x:c r="C292" s="30" t="str">
        <x:v>LINEAR_VEGETABLE_LIMITED</x:v>
      </x:c>
      <x:c r="D292" s="30" t="n">
        <x:v>0.5</x:v>
      </x:c>
      <x:c r="E292" s="30" t="str">
        <x:v>植物油</x:v>
      </x:c>
      <x:c r="F292" s="30" t="n">
        <x:v>5</x:v>
      </x:c>
      <x:c r="G292" s="30" t="str">
        <x:v>g</x:v>
      </x:c>
      <x:c r="H292" s="30" t="str">
        <x:v>added_weight</x:v>
      </x:c>
      <x:c r="I292" s="30" t="n">
        <x:v>1</x:v>
      </x:c>
      <x:c r="J292" s="30" t="n">
        <x:v>2.5</x:v>
      </x:c>
      <x:c r="K292" s="30" t="str">
        <x:v>植物油3g</x:v>
      </x:c>
      <x:c r="L292" s="76" t="b">
        <x:v>1</x:v>
      </x:c>
      <x:c r="M292" s="30" t="str">
        <x:v>已按MDT确认的Ingredient Master min/max/step执行化；执行量变化后必须重算营养。</x:v>
      </x:c>
      <x:c r="N292" s="30" t="n">
        <x:v>3</x:v>
      </x:c>
    </x:row>
    <x:row r="293">
      <x:c r="A293" s="30" t="str">
        <x:v>V004</x:v>
      </x:c>
      <x:c r="B293" s="30" t="str">
        <x:v>清炒圆白菜</x:v>
      </x:c>
      <x:c r="C293" s="30" t="str">
        <x:v>LINEAR_VEGETABLE_LIMITED</x:v>
      </x:c>
      <x:c r="D293" s="30" t="n">
        <x:v>0.75</x:v>
      </x:c>
      <x:c r="E293" s="30" t="str">
        <x:v>圆白菜</x:v>
      </x:c>
      <x:c r="F293" s="30" t="n">
        <x:v>200</x:v>
      </x:c>
      <x:c r="G293" s="30" t="str">
        <x:v>g</x:v>
      </x:c>
      <x:c r="H293" s="30" t="str">
        <x:v>raw_edible_weight</x:v>
      </x:c>
      <x:c r="I293" s="30" t="n">
        <x:v>10</x:v>
      </x:c>
      <x:c r="J293" s="30" t="n">
        <x:v>150</x:v>
      </x:c>
      <x:c r="K293" s="30" t="str">
        <x:v>圆白菜150g</x:v>
      </x:c>
      <x:c r="L293" s="76" t="b">
        <x:v>1</x:v>
      </x:c>
      <x:c r="M293" s="30" t="str">
        <x:v>已按MDT确认的Ingredient Master min/max/step执行化；执行量变化后必须重算营养。</x:v>
      </x:c>
      <x:c r="N293" s="30" t="n">
        <x:v>150</x:v>
      </x:c>
    </x:row>
    <x:row r="294">
      <x:c r="A294" s="30" t="str">
        <x:v>V004</x:v>
      </x:c>
      <x:c r="B294" s="30" t="str">
        <x:v>清炒圆白菜</x:v>
      </x:c>
      <x:c r="C294" s="30" t="str">
        <x:v>LINEAR_VEGETABLE_LIMITED</x:v>
      </x:c>
      <x:c r="D294" s="30" t="n">
        <x:v>0.75</x:v>
      </x:c>
      <x:c r="E294" s="30" t="str">
        <x:v>植物油</x:v>
      </x:c>
      <x:c r="F294" s="30" t="n">
        <x:v>5</x:v>
      </x:c>
      <x:c r="G294" s="30" t="str">
        <x:v>g</x:v>
      </x:c>
      <x:c r="H294" s="30" t="str">
        <x:v>added_weight</x:v>
      </x:c>
      <x:c r="I294" s="30" t="n">
        <x:v>1</x:v>
      </x:c>
      <x:c r="J294" s="30" t="n">
        <x:v>3.75</x:v>
      </x:c>
      <x:c r="K294" s="30" t="str">
        <x:v>植物油4g</x:v>
      </x:c>
      <x:c r="L294" s="76" t="b">
        <x:v>1</x:v>
      </x:c>
      <x:c r="M294" s="30" t="str">
        <x:v>已按MDT确认的Ingredient Master min/max/step执行化；执行量变化后必须重算营养。</x:v>
      </x:c>
      <x:c r="N294" s="30" t="n">
        <x:v>4</x:v>
      </x:c>
    </x:row>
    <x:row r="295">
      <x:c r="A295" s="30" t="str">
        <x:v>V004</x:v>
      </x:c>
      <x:c r="B295" s="30" t="str">
        <x:v>清炒圆白菜</x:v>
      </x:c>
      <x:c r="C295" s="30" t="str">
        <x:v>LINEAR_VEGETABLE_LIMITED</x:v>
      </x:c>
      <x:c r="D295" s="30" t="n">
        <x:v>1</x:v>
      </x:c>
      <x:c r="E295" s="30" t="str">
        <x:v>圆白菜</x:v>
      </x:c>
      <x:c r="F295" s="30" t="n">
        <x:v>200</x:v>
      </x:c>
      <x:c r="G295" s="30" t="str">
        <x:v>g</x:v>
      </x:c>
      <x:c r="H295" s="30" t="str">
        <x:v>raw_edible_weight</x:v>
      </x:c>
      <x:c r="I295" s="30" t="n">
        <x:v>10</x:v>
      </x:c>
      <x:c r="J295" s="30" t="n">
        <x:v>200</x:v>
      </x:c>
      <x:c r="K295" s="30" t="str">
        <x:v>圆白菜200g</x:v>
      </x:c>
      <x:c r="L295" s="76" t="b">
        <x:v>1</x:v>
      </x:c>
      <x:c r="M295" s="30" t="str">
        <x:v>已按MDT确认的Ingredient Master min/max/step执行化；执行量变化后必须重算营养。</x:v>
      </x:c>
      <x:c r="N295" s="30" t="n">
        <x:v>200</x:v>
      </x:c>
    </x:row>
    <x:row r="296">
      <x:c r="A296" s="30" t="str">
        <x:v>V004</x:v>
      </x:c>
      <x:c r="B296" s="30" t="str">
        <x:v>清炒圆白菜</x:v>
      </x:c>
      <x:c r="C296" s="30" t="str">
        <x:v>LINEAR_VEGETABLE_LIMITED</x:v>
      </x:c>
      <x:c r="D296" s="30" t="n">
        <x:v>1</x:v>
      </x:c>
      <x:c r="E296" s="30" t="str">
        <x:v>植物油</x:v>
      </x:c>
      <x:c r="F296" s="30" t="n">
        <x:v>5</x:v>
      </x:c>
      <x:c r="G296" s="30" t="str">
        <x:v>g</x:v>
      </x:c>
      <x:c r="H296" s="30" t="str">
        <x:v>added_weight</x:v>
      </x:c>
      <x:c r="I296" s="30" t="n">
        <x:v>1</x:v>
      </x:c>
      <x:c r="J296" s="30" t="n">
        <x:v>5</x:v>
      </x:c>
      <x:c r="K296" s="30" t="str">
        <x:v>植物油5g</x:v>
      </x:c>
      <x:c r="L296" s="76" t="b">
        <x:v>1</x:v>
      </x:c>
      <x:c r="M296" s="30" t="str">
        <x:v>已按MDT确认的Ingredient Master min/max/step执行化；执行量变化后必须重算营养。</x:v>
      </x:c>
      <x:c r="N296" s="30" t="n">
        <x:v>5</x:v>
      </x:c>
    </x:row>
    <x:row r="297">
      <x:c r="A297" s="30" t="str">
        <x:v>V004</x:v>
      </x:c>
      <x:c r="B297" s="30" t="str">
        <x:v>清炒圆白菜</x:v>
      </x:c>
      <x:c r="C297" s="30" t="str">
        <x:v>LINEAR_VEGETABLE_LIMITED</x:v>
      </x:c>
      <x:c r="D297" s="30" t="n">
        <x:v>1.25</x:v>
      </x:c>
      <x:c r="E297" s="30" t="str">
        <x:v>圆白菜</x:v>
      </x:c>
      <x:c r="F297" s="30" t="n">
        <x:v>200</x:v>
      </x:c>
      <x:c r="G297" s="30" t="str">
        <x:v>g</x:v>
      </x:c>
      <x:c r="H297" s="30" t="str">
        <x:v>raw_edible_weight</x:v>
      </x:c>
      <x:c r="I297" s="30" t="n">
        <x:v>10</x:v>
      </x:c>
      <x:c r="J297" s="30" t="n">
        <x:v>250</x:v>
      </x:c>
      <x:c r="K297" s="30" t="str">
        <x:v>圆白菜250g</x:v>
      </x:c>
      <x:c r="L297" s="76" t="b">
        <x:v>1</x:v>
      </x:c>
      <x:c r="M297" s="30" t="str">
        <x:v>已按MDT确认的Ingredient Master min/max/step执行化；执行量变化后必须重算营养。</x:v>
      </x:c>
      <x:c r="N297" s="30" t="n">
        <x:v>250</x:v>
      </x:c>
    </x:row>
    <x:row r="298">
      <x:c r="A298" s="30" t="str">
        <x:v>V004</x:v>
      </x:c>
      <x:c r="B298" s="30" t="str">
        <x:v>清炒圆白菜</x:v>
      </x:c>
      <x:c r="C298" s="30" t="str">
        <x:v>LINEAR_VEGETABLE_LIMITED</x:v>
      </x:c>
      <x:c r="D298" s="30" t="n">
        <x:v>1.25</x:v>
      </x:c>
      <x:c r="E298" s="30" t="str">
        <x:v>植物油</x:v>
      </x:c>
      <x:c r="F298" s="30" t="n">
        <x:v>5</x:v>
      </x:c>
      <x:c r="G298" s="30" t="str">
        <x:v>g</x:v>
      </x:c>
      <x:c r="H298" s="30" t="str">
        <x:v>added_weight</x:v>
      </x:c>
      <x:c r="I298" s="30" t="n">
        <x:v>1</x:v>
      </x:c>
      <x:c r="J298" s="30" t="n">
        <x:v>6.25</x:v>
      </x:c>
      <x:c r="K298" s="30" t="str">
        <x:v>植物油6g</x:v>
      </x:c>
      <x:c r="L298" s="76" t="b">
        <x:v>1</x:v>
      </x:c>
      <x:c r="M298" s="30" t="str">
        <x:v>已按MDT确认的Ingredient Master min/max/step执行化；执行量变化后必须重算营养。</x:v>
      </x:c>
      <x:c r="N298" s="30" t="n">
        <x:v>6</x:v>
      </x:c>
    </x:row>
    <x:row r="299">
      <x:c r="A299" s="30" t="str">
        <x:v>V004</x:v>
      </x:c>
      <x:c r="B299" s="30" t="str">
        <x:v>清炒圆白菜</x:v>
      </x:c>
      <x:c r="C299" s="30" t="str">
        <x:v>LINEAR_VEGETABLE_LIMITED</x:v>
      </x:c>
      <x:c r="D299" s="30" t="n">
        <x:v>1.5</x:v>
      </x:c>
      <x:c r="E299" s="30"/>
      <x:c r="F299" s="30"/>
      <x:c r="G299" s="30"/>
      <x:c r="H299" s="30"/>
      <x:c r="I299" s="30"/>
      <x:c r="J299" s="30"/>
      <x:c r="K299" s="30" t="str">
        <x:v>该档位不允许整组件直接缩放</x:v>
      </x:c>
      <x:c r="L299" s="76" t="b">
        <x:v>0</x:v>
      </x:c>
      <x:c r="M299" s="30" t="str">
        <x:v>超出本组件候选执行边界。</x:v>
      </x:c>
      <x:c r="N299" s="30" t="str">
        <x:f>IF(OR(J299="",I299=""),"",ROUND(J299/I299,0)*I299)</x:f>
      </x:c>
    </x:row>
    <x:row r="300">
      <x:c r="A300" s="30" t="str">
        <x:v>V005</x:v>
      </x:c>
      <x:c r="B300" s="30" t="str">
        <x:v>芹菜木耳</x:v>
      </x:c>
      <x:c r="C300" s="30" t="str">
        <x:v>LINEAR_VEGETABLE_LIMITED</x:v>
      </x:c>
      <x:c r="D300" s="30" t="n">
        <x:v>0.5</x:v>
      </x:c>
      <x:c r="E300" s="30" t="str">
        <x:v>芹菜</x:v>
      </x:c>
      <x:c r="F300" s="30" t="n">
        <x:v>150</x:v>
      </x:c>
      <x:c r="G300" s="30" t="str">
        <x:v>g</x:v>
      </x:c>
      <x:c r="H300" s="30" t="str">
        <x:v>raw_edible_weight</x:v>
      </x:c>
      <x:c r="I300" s="30" t="n">
        <x:v>10</x:v>
      </x:c>
      <x:c r="J300" s="30" t="n">
        <x:v>75</x:v>
      </x:c>
      <x:c r="K300" s="30" t="str">
        <x:v>芹菜80g</x:v>
      </x:c>
      <x:c r="L300" s="76" t="b">
        <x:v>1</x:v>
      </x:c>
      <x:c r="M300" s="30" t="str">
        <x:v>已按MDT确认的Ingredient Master min/max/step执行化；执行量变化后必须重算营养。</x:v>
      </x:c>
      <x:c r="N300" s="30" t="n">
        <x:v>80</x:v>
      </x:c>
    </x:row>
    <x:row r="301">
      <x:c r="A301" s="30" t="str">
        <x:v>V005</x:v>
      </x:c>
      <x:c r="B301" s="30" t="str">
        <x:v>芹菜木耳</x:v>
      </x:c>
      <x:c r="C301" s="30" t="str">
        <x:v>LINEAR_VEGETABLE_LIMITED</x:v>
      </x:c>
      <x:c r="D301" s="30" t="n">
        <x:v>0.5</x:v>
      </x:c>
      <x:c r="E301" s="30" t="str">
        <x:v>木耳鲜</x:v>
      </x:c>
      <x:c r="F301" s="30" t="n">
        <x:v>80</x:v>
      </x:c>
      <x:c r="G301" s="30" t="str">
        <x:v>g</x:v>
      </x:c>
      <x:c r="H301" s="30" t="str">
        <x:v>raw_edible_weight</x:v>
      </x:c>
      <x:c r="I301" s="30" t="n">
        <x:v>10</x:v>
      </x:c>
      <x:c r="J301" s="30" t="n">
        <x:v>40</x:v>
      </x:c>
      <x:c r="K301" s="30" t="str">
        <x:v>木耳鲜40g</x:v>
      </x:c>
      <x:c r="L301" s="76" t="b">
        <x:v>1</x:v>
      </x:c>
      <x:c r="M301" s="30" t="str">
        <x:v>已按MDT确认的Ingredient Master min/max/step执行化；执行量变化后必须重算营养。</x:v>
      </x:c>
      <x:c r="N301" s="30" t="n">
        <x:v>40</x:v>
      </x:c>
    </x:row>
    <x:row r="302">
      <x:c r="A302" s="30" t="str">
        <x:v>V005</x:v>
      </x:c>
      <x:c r="B302" s="30" t="str">
        <x:v>芹菜木耳</x:v>
      </x:c>
      <x:c r="C302" s="30" t="str">
        <x:v>LINEAR_VEGETABLE_LIMITED</x:v>
      </x:c>
      <x:c r="D302" s="30" t="n">
        <x:v>0.5</x:v>
      </x:c>
      <x:c r="E302" s="30" t="str">
        <x:v>植物油</x:v>
      </x:c>
      <x:c r="F302" s="30" t="n">
        <x:v>5</x:v>
      </x:c>
      <x:c r="G302" s="30" t="str">
        <x:v>g</x:v>
      </x:c>
      <x:c r="H302" s="30" t="str">
        <x:v>added_weight</x:v>
      </x:c>
      <x:c r="I302" s="30" t="n">
        <x:v>1</x:v>
      </x:c>
      <x:c r="J302" s="30" t="n">
        <x:v>2.5</x:v>
      </x:c>
      <x:c r="K302" s="30" t="str">
        <x:v>植物油3g</x:v>
      </x:c>
      <x:c r="L302" s="76" t="b">
        <x:v>1</x:v>
      </x:c>
      <x:c r="M302" s="30" t="str">
        <x:v>已按MDT确认的Ingredient Master min/max/step执行化；执行量变化后必须重算营养。</x:v>
      </x:c>
      <x:c r="N302" s="30" t="n">
        <x:v>3</x:v>
      </x:c>
    </x:row>
    <x:row r="303">
      <x:c r="A303" s="30" t="str">
        <x:v>V005</x:v>
      </x:c>
      <x:c r="B303" s="30" t="str">
        <x:v>芹菜木耳</x:v>
      </x:c>
      <x:c r="C303" s="30" t="str">
        <x:v>LINEAR_VEGETABLE_LIMITED</x:v>
      </x:c>
      <x:c r="D303" s="30" t="n">
        <x:v>0.75</x:v>
      </x:c>
      <x:c r="E303" s="30" t="str">
        <x:v>芹菜</x:v>
      </x:c>
      <x:c r="F303" s="30" t="n">
        <x:v>150</x:v>
      </x:c>
      <x:c r="G303" s="30" t="str">
        <x:v>g</x:v>
      </x:c>
      <x:c r="H303" s="30" t="str">
        <x:v>raw_edible_weight</x:v>
      </x:c>
      <x:c r="I303" s="30" t="n">
        <x:v>10</x:v>
      </x:c>
      <x:c r="J303" s="30" t="n">
        <x:v>112.5</x:v>
      </x:c>
      <x:c r="K303" s="30" t="str">
        <x:v>芹菜110g</x:v>
      </x:c>
      <x:c r="L303" s="76" t="b">
        <x:v>1</x:v>
      </x:c>
      <x:c r="M303" s="30" t="str">
        <x:v>已按MDT确认的Ingredient Master min/max/step执行化；执行量变化后必须重算营养。</x:v>
      </x:c>
      <x:c r="N303" s="30" t="n">
        <x:v>110</x:v>
      </x:c>
    </x:row>
    <x:row r="304">
      <x:c r="A304" s="30" t="str">
        <x:v>V005</x:v>
      </x:c>
      <x:c r="B304" s="30" t="str">
        <x:v>芹菜木耳</x:v>
      </x:c>
      <x:c r="C304" s="30" t="str">
        <x:v>LINEAR_VEGETABLE_LIMITED</x:v>
      </x:c>
      <x:c r="D304" s="30" t="n">
        <x:v>0.75</x:v>
      </x:c>
      <x:c r="E304" s="30" t="str">
        <x:v>木耳鲜</x:v>
      </x:c>
      <x:c r="F304" s="30" t="n">
        <x:v>80</x:v>
      </x:c>
      <x:c r="G304" s="30" t="str">
        <x:v>g</x:v>
      </x:c>
      <x:c r="H304" s="30" t="str">
        <x:v>raw_edible_weight</x:v>
      </x:c>
      <x:c r="I304" s="30" t="n">
        <x:v>10</x:v>
      </x:c>
      <x:c r="J304" s="30" t="n">
        <x:v>60</x:v>
      </x:c>
      <x:c r="K304" s="30" t="str">
        <x:v>木耳鲜60g</x:v>
      </x:c>
      <x:c r="L304" s="76" t="b">
        <x:v>1</x:v>
      </x:c>
      <x:c r="M304" s="30" t="str">
        <x:v>已按MDT确认的Ingredient Master min/max/step执行化；执行量变化后必须重算营养。</x:v>
      </x:c>
      <x:c r="N304" s="30" t="n">
        <x:v>60</x:v>
      </x:c>
    </x:row>
    <x:row r="305">
      <x:c r="A305" s="30" t="str">
        <x:v>V005</x:v>
      </x:c>
      <x:c r="B305" s="30" t="str">
        <x:v>芹菜木耳</x:v>
      </x:c>
      <x:c r="C305" s="30" t="str">
        <x:v>LINEAR_VEGETABLE_LIMITED</x:v>
      </x:c>
      <x:c r="D305" s="30" t="n">
        <x:v>0.75</x:v>
      </x:c>
      <x:c r="E305" s="30" t="str">
        <x:v>植物油</x:v>
      </x:c>
      <x:c r="F305" s="30" t="n">
        <x:v>5</x:v>
      </x:c>
      <x:c r="G305" s="30" t="str">
        <x:v>g</x:v>
      </x:c>
      <x:c r="H305" s="30" t="str">
        <x:v>added_weight</x:v>
      </x:c>
      <x:c r="I305" s="30" t="n">
        <x:v>1</x:v>
      </x:c>
      <x:c r="J305" s="30" t="n">
        <x:v>3.75</x:v>
      </x:c>
      <x:c r="K305" s="30" t="str">
        <x:v>植物油4g</x:v>
      </x:c>
      <x:c r="L305" s="76" t="b">
        <x:v>1</x:v>
      </x:c>
      <x:c r="M305" s="30" t="str">
        <x:v>已按MDT确认的Ingredient Master min/max/step执行化；执行量变化后必须重算营养。</x:v>
      </x:c>
      <x:c r="N305" s="30" t="n">
        <x:v>4</x:v>
      </x:c>
    </x:row>
    <x:row r="306">
      <x:c r="A306" s="30" t="str">
        <x:v>V005</x:v>
      </x:c>
      <x:c r="B306" s="30" t="str">
        <x:v>芹菜木耳</x:v>
      </x:c>
      <x:c r="C306" s="30" t="str">
        <x:v>LINEAR_VEGETABLE_LIMITED</x:v>
      </x:c>
      <x:c r="D306" s="30" t="n">
        <x:v>1</x:v>
      </x:c>
      <x:c r="E306" s="30" t="str">
        <x:v>芹菜</x:v>
      </x:c>
      <x:c r="F306" s="30" t="n">
        <x:v>150</x:v>
      </x:c>
      <x:c r="G306" s="30" t="str">
        <x:v>g</x:v>
      </x:c>
      <x:c r="H306" s="30" t="str">
        <x:v>raw_edible_weight</x:v>
      </x:c>
      <x:c r="I306" s="30" t="n">
        <x:v>10</x:v>
      </x:c>
      <x:c r="J306" s="30" t="n">
        <x:v>150</x:v>
      </x:c>
      <x:c r="K306" s="30" t="str">
        <x:v>芹菜150g</x:v>
      </x:c>
      <x:c r="L306" s="76" t="b">
        <x:v>1</x:v>
      </x:c>
      <x:c r="M306" s="30" t="str">
        <x:v>已按MDT确认的Ingredient Master min/max/step执行化；执行量变化后必须重算营养。</x:v>
      </x:c>
      <x:c r="N306" s="30" t="n">
        <x:v>150</x:v>
      </x:c>
    </x:row>
    <x:row r="307">
      <x:c r="A307" s="30" t="str">
        <x:v>V005</x:v>
      </x:c>
      <x:c r="B307" s="30" t="str">
        <x:v>芹菜木耳</x:v>
      </x:c>
      <x:c r="C307" s="30" t="str">
        <x:v>LINEAR_VEGETABLE_LIMITED</x:v>
      </x:c>
      <x:c r="D307" s="30" t="n">
        <x:v>1</x:v>
      </x:c>
      <x:c r="E307" s="30" t="str">
        <x:v>木耳鲜</x:v>
      </x:c>
      <x:c r="F307" s="30" t="n">
        <x:v>80</x:v>
      </x:c>
      <x:c r="G307" s="30" t="str">
        <x:v>g</x:v>
      </x:c>
      <x:c r="H307" s="30" t="str">
        <x:v>raw_edible_weight</x:v>
      </x:c>
      <x:c r="I307" s="30" t="n">
        <x:v>10</x:v>
      </x:c>
      <x:c r="J307" s="30" t="n">
        <x:v>80</x:v>
      </x:c>
      <x:c r="K307" s="30" t="str">
        <x:v>木耳鲜80g</x:v>
      </x:c>
      <x:c r="L307" s="76" t="b">
        <x:v>1</x:v>
      </x:c>
      <x:c r="M307" s="30" t="str">
        <x:v>已按MDT确认的Ingredient Master min/max/step执行化；执行量变化后必须重算营养。</x:v>
      </x:c>
      <x:c r="N307" s="30" t="n">
        <x:v>80</x:v>
      </x:c>
    </x:row>
    <x:row r="308">
      <x:c r="A308" s="30" t="str">
        <x:v>V005</x:v>
      </x:c>
      <x:c r="B308" s="30" t="str">
        <x:v>芹菜木耳</x:v>
      </x:c>
      <x:c r="C308" s="30" t="str">
        <x:v>LINEAR_VEGETABLE_LIMITED</x:v>
      </x:c>
      <x:c r="D308" s="30" t="n">
        <x:v>1</x:v>
      </x:c>
      <x:c r="E308" s="30" t="str">
        <x:v>植物油</x:v>
      </x:c>
      <x:c r="F308" s="30" t="n">
        <x:v>5</x:v>
      </x:c>
      <x:c r="G308" s="30" t="str">
        <x:v>g</x:v>
      </x:c>
      <x:c r="H308" s="30" t="str">
        <x:v>added_weight</x:v>
      </x:c>
      <x:c r="I308" s="30" t="n">
        <x:v>1</x:v>
      </x:c>
      <x:c r="J308" s="30" t="n">
        <x:v>5</x:v>
      </x:c>
      <x:c r="K308" s="30" t="str">
        <x:v>植物油5g</x:v>
      </x:c>
      <x:c r="L308" s="76" t="b">
        <x:v>1</x:v>
      </x:c>
      <x:c r="M308" s="30" t="str">
        <x:v>已按MDT确认的Ingredient Master min/max/step执行化；执行量变化后必须重算营养。</x:v>
      </x:c>
      <x:c r="N308" s="30" t="n">
        <x:v>5</x:v>
      </x:c>
    </x:row>
    <x:row r="309">
      <x:c r="A309" s="30" t="str">
        <x:v>V005</x:v>
      </x:c>
      <x:c r="B309" s="30" t="str">
        <x:v>芹菜木耳</x:v>
      </x:c>
      <x:c r="C309" s="30" t="str">
        <x:v>LINEAR_VEGETABLE_LIMITED</x:v>
      </x:c>
      <x:c r="D309" s="30" t="n">
        <x:v>1.25</x:v>
      </x:c>
      <x:c r="E309" s="30" t="str">
        <x:v>芹菜</x:v>
      </x:c>
      <x:c r="F309" s="30" t="n">
        <x:v>150</x:v>
      </x:c>
      <x:c r="G309" s="30" t="str">
        <x:v>g</x:v>
      </x:c>
      <x:c r="H309" s="30" t="str">
        <x:v>raw_edible_weight</x:v>
      </x:c>
      <x:c r="I309" s="30" t="n">
        <x:v>10</x:v>
      </x:c>
      <x:c r="J309" s="30" t="n">
        <x:v>187.5</x:v>
      </x:c>
      <x:c r="K309" s="30" t="str">
        <x:v>芹菜190g</x:v>
      </x:c>
      <x:c r="L309" s="76" t="b">
        <x:v>1</x:v>
      </x:c>
      <x:c r="M309" s="30" t="str">
        <x:v>已按MDT确认的Ingredient Master min/max/step执行化；执行量变化后必须重算营养。</x:v>
      </x:c>
      <x:c r="N309" s="30" t="n">
        <x:v>190</x:v>
      </x:c>
    </x:row>
    <x:row r="310">
      <x:c r="A310" s="30" t="str">
        <x:v>V005</x:v>
      </x:c>
      <x:c r="B310" s="30" t="str">
        <x:v>芹菜木耳</x:v>
      </x:c>
      <x:c r="C310" s="30" t="str">
        <x:v>LINEAR_VEGETABLE_LIMITED</x:v>
      </x:c>
      <x:c r="D310" s="30" t="n">
        <x:v>1.25</x:v>
      </x:c>
      <x:c r="E310" s="30" t="str">
        <x:v>木耳鲜</x:v>
      </x:c>
      <x:c r="F310" s="30" t="n">
        <x:v>80</x:v>
      </x:c>
      <x:c r="G310" s="30" t="str">
        <x:v>g</x:v>
      </x:c>
      <x:c r="H310" s="30" t="str">
        <x:v>raw_edible_weight</x:v>
      </x:c>
      <x:c r="I310" s="30" t="n">
        <x:v>10</x:v>
      </x:c>
      <x:c r="J310" s="30" t="n">
        <x:v>100</x:v>
      </x:c>
      <x:c r="K310" s="30" t="str">
        <x:v>木耳鲜100g</x:v>
      </x:c>
      <x:c r="L310" s="76" t="b">
        <x:v>1</x:v>
      </x:c>
      <x:c r="M310" s="30" t="str">
        <x:v>已按MDT确认的Ingredient Master min/max/step执行化；执行量变化后必须重算营养。</x:v>
      </x:c>
      <x:c r="N310" s="30" t="n">
        <x:v>100</x:v>
      </x:c>
    </x:row>
    <x:row r="311">
      <x:c r="A311" s="30" t="str">
        <x:v>V005</x:v>
      </x:c>
      <x:c r="B311" s="30" t="str">
        <x:v>芹菜木耳</x:v>
      </x:c>
      <x:c r="C311" s="30" t="str">
        <x:v>LINEAR_VEGETABLE_LIMITED</x:v>
      </x:c>
      <x:c r="D311" s="30" t="n">
        <x:v>1.25</x:v>
      </x:c>
      <x:c r="E311" s="30" t="str">
        <x:v>植物油</x:v>
      </x:c>
      <x:c r="F311" s="30" t="n">
        <x:v>5</x:v>
      </x:c>
      <x:c r="G311" s="30" t="str">
        <x:v>g</x:v>
      </x:c>
      <x:c r="H311" s="30" t="str">
        <x:v>added_weight</x:v>
      </x:c>
      <x:c r="I311" s="30" t="n">
        <x:v>1</x:v>
      </x:c>
      <x:c r="J311" s="30" t="n">
        <x:v>6.25</x:v>
      </x:c>
      <x:c r="K311" s="30" t="str">
        <x:v>植物油6g</x:v>
      </x:c>
      <x:c r="L311" s="76" t="b">
        <x:v>1</x:v>
      </x:c>
      <x:c r="M311" s="30" t="str">
        <x:v>已按MDT确认的Ingredient Master min/max/step执行化；执行量变化后必须重算营养。</x:v>
      </x:c>
      <x:c r="N311" s="30" t="n">
        <x:v>6</x:v>
      </x:c>
    </x:row>
    <x:row r="312">
      <x:c r="A312" s="30" t="str">
        <x:v>V005</x:v>
      </x:c>
      <x:c r="B312" s="30" t="str">
        <x:v>芹菜木耳</x:v>
      </x:c>
      <x:c r="C312" s="30" t="str">
        <x:v>LINEAR_VEGETABLE_LIMITED</x:v>
      </x:c>
      <x:c r="D312" s="30" t="n">
        <x:v>1.5</x:v>
      </x:c>
      <x:c r="E312" s="30"/>
      <x:c r="F312" s="30"/>
      <x:c r="G312" s="30"/>
      <x:c r="H312" s="30"/>
      <x:c r="I312" s="30"/>
      <x:c r="J312" s="30"/>
      <x:c r="K312" s="30" t="str">
        <x:v>该档位不允许整组件直接缩放</x:v>
      </x:c>
      <x:c r="L312" s="76" t="b">
        <x:v>0</x:v>
      </x:c>
      <x:c r="M312" s="30" t="str">
        <x:v>超出本组件候选执行边界。</x:v>
      </x:c>
      <x:c r="N312" s="30" t="str">
        <x:f>IF(OR(J312="",I312=""),"",ROUND(J312/I312,0)*I312)</x:f>
      </x:c>
    </x:row>
    <x:row r="313">
      <x:c r="A313" s="30" t="str">
        <x:v>V006</x:v>
      </x:c>
      <x:c r="B313" s="30" t="str">
        <x:v>番茄黄瓜双拼</x:v>
      </x:c>
      <x:c r="C313" s="30" t="str">
        <x:v>LINEAR_VEGETABLE_LARGE_BASE</x:v>
      </x:c>
      <x:c r="D313" s="30" t="n">
        <x:v>0.5</x:v>
      </x:c>
      <x:c r="E313" s="30" t="str">
        <x:v>番茄</x:v>
      </x:c>
      <x:c r="F313" s="30" t="n">
        <x:v>150</x:v>
      </x:c>
      <x:c r="G313" s="30" t="str">
        <x:v>g</x:v>
      </x:c>
      <x:c r="H313" s="30" t="str">
        <x:v>raw_edible_weight</x:v>
      </x:c>
      <x:c r="I313" s="30" t="n">
        <x:v>10</x:v>
      </x:c>
      <x:c r="J313" s="30" t="n">
        <x:v>75</x:v>
      </x:c>
      <x:c r="K313" s="30" t="str">
        <x:v>番茄80g</x:v>
      </x:c>
      <x:c r="L313" s="76" t="b">
        <x:v>1</x:v>
      </x:c>
      <x:c r="M313" s="30" t="str">
        <x:v>已按MDT确认的Ingredient Master min/max/step执行化；执行量变化后必须重算营养。</x:v>
      </x:c>
      <x:c r="N313" s="30" t="n">
        <x:v>80</x:v>
      </x:c>
    </x:row>
    <x:row r="314">
      <x:c r="A314" s="30" t="str">
        <x:v>V006</x:v>
      </x:c>
      <x:c r="B314" s="30" t="str">
        <x:v>番茄黄瓜双拼</x:v>
      </x:c>
      <x:c r="C314" s="30" t="str">
        <x:v>LINEAR_VEGETABLE_LARGE_BASE</x:v>
      </x:c>
      <x:c r="D314" s="30" t="n">
        <x:v>0.5</x:v>
      </x:c>
      <x:c r="E314" s="30" t="str">
        <x:v>黄瓜</x:v>
      </x:c>
      <x:c r="F314" s="30" t="n">
        <x:v>150</x:v>
      </x:c>
      <x:c r="G314" s="30" t="str">
        <x:v>g</x:v>
      </x:c>
      <x:c r="H314" s="30" t="str">
        <x:v>raw_edible_weight</x:v>
      </x:c>
      <x:c r="I314" s="30" t="n">
        <x:v>10</x:v>
      </x:c>
      <x:c r="J314" s="30" t="n">
        <x:v>75</x:v>
      </x:c>
      <x:c r="K314" s="30" t="str">
        <x:v>黄瓜80g</x:v>
      </x:c>
      <x:c r="L314" s="76" t="b">
        <x:v>1</x:v>
      </x:c>
      <x:c r="M314" s="30" t="str">
        <x:v>已按MDT确认的Ingredient Master min/max/step执行化；执行量变化后必须重算营养。</x:v>
      </x:c>
      <x:c r="N314" s="30" t="n">
        <x:v>80</x:v>
      </x:c>
    </x:row>
    <x:row r="315">
      <x:c r="A315" s="30" t="str">
        <x:v>V006</x:v>
      </x:c>
      <x:c r="B315" s="30" t="str">
        <x:v>番茄黄瓜双拼</x:v>
      </x:c>
      <x:c r="C315" s="30" t="str">
        <x:v>LINEAR_VEGETABLE_LARGE_BASE</x:v>
      </x:c>
      <x:c r="D315" s="30" t="n">
        <x:v>0.5</x:v>
      </x:c>
      <x:c r="E315" s="30" t="str">
        <x:v>植物油</x:v>
      </x:c>
      <x:c r="F315" s="30" t="n">
        <x:v>3</x:v>
      </x:c>
      <x:c r="G315" s="30" t="str">
        <x:v>g</x:v>
      </x:c>
      <x:c r="H315" s="30" t="str">
        <x:v>added_weight</x:v>
      </x:c>
      <x:c r="I315" s="30" t="n">
        <x:v>1</x:v>
      </x:c>
      <x:c r="J315" s="30" t="n">
        <x:v>1.5</x:v>
      </x:c>
      <x:c r="K315" s="30" t="str">
        <x:v>植物油2g</x:v>
      </x:c>
      <x:c r="L315" s="76" t="b">
        <x:v>1</x:v>
      </x:c>
      <x:c r="M315" s="30" t="str">
        <x:v>已按MDT确认的Ingredient Master min/max/step执行化；执行量变化后必须重算营养。</x:v>
      </x:c>
      <x:c r="N315" s="30" t="n">
        <x:v>2</x:v>
      </x:c>
    </x:row>
    <x:row r="316">
      <x:c r="A316" s="30" t="str">
        <x:v>V006</x:v>
      </x:c>
      <x:c r="B316" s="30" t="str">
        <x:v>番茄黄瓜双拼</x:v>
      </x:c>
      <x:c r="C316" s="30" t="str">
        <x:v>LINEAR_VEGETABLE_LARGE_BASE</x:v>
      </x:c>
      <x:c r="D316" s="30" t="n">
        <x:v>0.75</x:v>
      </x:c>
      <x:c r="E316" s="30" t="str">
        <x:v>番茄</x:v>
      </x:c>
      <x:c r="F316" s="30" t="n">
        <x:v>150</x:v>
      </x:c>
      <x:c r="G316" s="30" t="str">
        <x:v>g</x:v>
      </x:c>
      <x:c r="H316" s="30" t="str">
        <x:v>raw_edible_weight</x:v>
      </x:c>
      <x:c r="I316" s="30" t="n">
        <x:v>10</x:v>
      </x:c>
      <x:c r="J316" s="30" t="n">
        <x:v>112.5</x:v>
      </x:c>
      <x:c r="K316" s="30" t="str">
        <x:v>番茄110g</x:v>
      </x:c>
      <x:c r="L316" s="76" t="b">
        <x:v>1</x:v>
      </x:c>
      <x:c r="M316" s="30" t="str">
        <x:v>已按MDT确认的Ingredient Master min/max/step执行化；执行量变化后必须重算营养。</x:v>
      </x:c>
      <x:c r="N316" s="30" t="n">
        <x:v>110</x:v>
      </x:c>
    </x:row>
    <x:row r="317">
      <x:c r="A317" s="30" t="str">
        <x:v>V006</x:v>
      </x:c>
      <x:c r="B317" s="30" t="str">
        <x:v>番茄黄瓜双拼</x:v>
      </x:c>
      <x:c r="C317" s="30" t="str">
        <x:v>LINEAR_VEGETABLE_LARGE_BASE</x:v>
      </x:c>
      <x:c r="D317" s="30" t="n">
        <x:v>0.75</x:v>
      </x:c>
      <x:c r="E317" s="30" t="str">
        <x:v>黄瓜</x:v>
      </x:c>
      <x:c r="F317" s="30" t="n">
        <x:v>150</x:v>
      </x:c>
      <x:c r="G317" s="30" t="str">
        <x:v>g</x:v>
      </x:c>
      <x:c r="H317" s="30" t="str">
        <x:v>raw_edible_weight</x:v>
      </x:c>
      <x:c r="I317" s="30" t="n">
        <x:v>10</x:v>
      </x:c>
      <x:c r="J317" s="30" t="n">
        <x:v>112.5</x:v>
      </x:c>
      <x:c r="K317" s="30" t="str">
        <x:v>黄瓜110g</x:v>
      </x:c>
      <x:c r="L317" s="76" t="b">
        <x:v>1</x:v>
      </x:c>
      <x:c r="M317" s="30" t="str">
        <x:v>已按MDT确认的Ingredient Master min/max/step执行化；执行量变化后必须重算营养。</x:v>
      </x:c>
      <x:c r="N317" s="30" t="n">
        <x:v>110</x:v>
      </x:c>
    </x:row>
    <x:row r="318">
      <x:c r="A318" s="30" t="str">
        <x:v>V006</x:v>
      </x:c>
      <x:c r="B318" s="30" t="str">
        <x:v>番茄黄瓜双拼</x:v>
      </x:c>
      <x:c r="C318" s="30" t="str">
        <x:v>LINEAR_VEGETABLE_LARGE_BASE</x:v>
      </x:c>
      <x:c r="D318" s="30" t="n">
        <x:v>0.75</x:v>
      </x:c>
      <x:c r="E318" s="30" t="str">
        <x:v>植物油</x:v>
      </x:c>
      <x:c r="F318" s="30" t="n">
        <x:v>3</x:v>
      </x:c>
      <x:c r="G318" s="30" t="str">
        <x:v>g</x:v>
      </x:c>
      <x:c r="H318" s="30" t="str">
        <x:v>added_weight</x:v>
      </x:c>
      <x:c r="I318" s="30" t="n">
        <x:v>1</x:v>
      </x:c>
      <x:c r="J318" s="30" t="n">
        <x:v>2.25</x:v>
      </x:c>
      <x:c r="K318" s="30" t="str">
        <x:v>植物油2g</x:v>
      </x:c>
      <x:c r="L318" s="76" t="b">
        <x:v>1</x:v>
      </x:c>
      <x:c r="M318" s="30" t="str">
        <x:v>已按MDT确认的Ingredient Master min/max/step执行化；执行量变化后必须重算营养。</x:v>
      </x:c>
      <x:c r="N318" s="30" t="n">
        <x:v>2</x:v>
      </x:c>
    </x:row>
    <x:row r="319">
      <x:c r="A319" s="30" t="str">
        <x:v>V006</x:v>
      </x:c>
      <x:c r="B319" s="30" t="str">
        <x:v>番茄黄瓜双拼</x:v>
      </x:c>
      <x:c r="C319" s="30" t="str">
        <x:v>LINEAR_VEGETABLE_LARGE_BASE</x:v>
      </x:c>
      <x:c r="D319" s="30" t="n">
        <x:v>1</x:v>
      </x:c>
      <x:c r="E319" s="30" t="str">
        <x:v>番茄</x:v>
      </x:c>
      <x:c r="F319" s="30" t="n">
        <x:v>150</x:v>
      </x:c>
      <x:c r="G319" s="30" t="str">
        <x:v>g</x:v>
      </x:c>
      <x:c r="H319" s="30" t="str">
        <x:v>raw_edible_weight</x:v>
      </x:c>
      <x:c r="I319" s="30" t="n">
        <x:v>10</x:v>
      </x:c>
      <x:c r="J319" s="30" t="n">
        <x:v>150</x:v>
      </x:c>
      <x:c r="K319" s="30" t="str">
        <x:v>番茄150g</x:v>
      </x:c>
      <x:c r="L319" s="76" t="b">
        <x:v>1</x:v>
      </x:c>
      <x:c r="M319" s="30" t="str">
        <x:v>已按MDT确认的Ingredient Master min/max/step执行化；执行量变化后必须重算营养。</x:v>
      </x:c>
      <x:c r="N319" s="30" t="n">
        <x:v>150</x:v>
      </x:c>
    </x:row>
    <x:row r="320">
      <x:c r="A320" s="30" t="str">
        <x:v>V006</x:v>
      </x:c>
      <x:c r="B320" s="30" t="str">
        <x:v>番茄黄瓜双拼</x:v>
      </x:c>
      <x:c r="C320" s="30" t="str">
        <x:v>LINEAR_VEGETABLE_LARGE_BASE</x:v>
      </x:c>
      <x:c r="D320" s="30" t="n">
        <x:v>1</x:v>
      </x:c>
      <x:c r="E320" s="30" t="str">
        <x:v>黄瓜</x:v>
      </x:c>
      <x:c r="F320" s="30" t="n">
        <x:v>150</x:v>
      </x:c>
      <x:c r="G320" s="30" t="str">
        <x:v>g</x:v>
      </x:c>
      <x:c r="H320" s="30" t="str">
        <x:v>raw_edible_weight</x:v>
      </x:c>
      <x:c r="I320" s="30" t="n">
        <x:v>10</x:v>
      </x:c>
      <x:c r="J320" s="30" t="n">
        <x:v>150</x:v>
      </x:c>
      <x:c r="K320" s="30" t="str">
        <x:v>黄瓜150g</x:v>
      </x:c>
      <x:c r="L320" s="76" t="b">
        <x:v>1</x:v>
      </x:c>
      <x:c r="M320" s="30" t="str">
        <x:v>已按MDT确认的Ingredient Master min/max/step执行化；执行量变化后必须重算营养。</x:v>
      </x:c>
      <x:c r="N320" s="30" t="n">
        <x:v>150</x:v>
      </x:c>
    </x:row>
    <x:row r="321">
      <x:c r="A321" s="30" t="str">
        <x:v>V006</x:v>
      </x:c>
      <x:c r="B321" s="30" t="str">
        <x:v>番茄黄瓜双拼</x:v>
      </x:c>
      <x:c r="C321" s="30" t="str">
        <x:v>LINEAR_VEGETABLE_LARGE_BASE</x:v>
      </x:c>
      <x:c r="D321" s="30" t="n">
        <x:v>1</x:v>
      </x:c>
      <x:c r="E321" s="30" t="str">
        <x:v>植物油</x:v>
      </x:c>
      <x:c r="F321" s="30" t="n">
        <x:v>3</x:v>
      </x:c>
      <x:c r="G321" s="30" t="str">
        <x:v>g</x:v>
      </x:c>
      <x:c r="H321" s="30" t="str">
        <x:v>added_weight</x:v>
      </x:c>
      <x:c r="I321" s="30" t="n">
        <x:v>1</x:v>
      </x:c>
      <x:c r="J321" s="30" t="n">
        <x:v>3</x:v>
      </x:c>
      <x:c r="K321" s="30" t="str">
        <x:v>植物油3g</x:v>
      </x:c>
      <x:c r="L321" s="76" t="b">
        <x:v>1</x:v>
      </x:c>
      <x:c r="M321" s="30" t="str">
        <x:v>已按MDT确认的Ingredient Master min/max/step执行化；执行量变化后必须重算营养。</x:v>
      </x:c>
      <x:c r="N321" s="30" t="n">
        <x:v>3</x:v>
      </x:c>
    </x:row>
    <x:row r="322">
      <x:c r="A322" s="30" t="str">
        <x:v>V006</x:v>
      </x:c>
      <x:c r="B322" s="30" t="str">
        <x:v>番茄黄瓜双拼</x:v>
      </x:c>
      <x:c r="C322" s="30" t="str">
        <x:v>LINEAR_VEGETABLE_LARGE_BASE</x:v>
      </x:c>
      <x:c r="D322" s="30" t="n">
        <x:v>1.25</x:v>
      </x:c>
      <x:c r="E322" s="30"/>
      <x:c r="F322" s="30"/>
      <x:c r="G322" s="30"/>
      <x:c r="H322" s="30"/>
      <x:c r="I322" s="30"/>
      <x:c r="J322" s="30"/>
      <x:c r="K322" s="30" t="str">
        <x:v>该档位不允许整组件直接缩放</x:v>
      </x:c>
      <x:c r="L322" s="76" t="b">
        <x:v>0</x:v>
      </x:c>
      <x:c r="M322" s="30" t="str">
        <x:v>超出本组件候选执行边界。</x:v>
      </x:c>
      <x:c r="N322" s="30" t="str">
        <x:f>IF(OR(J322="",I322=""),"",ROUND(J322/I322,0)*I322)</x:f>
      </x:c>
    </x:row>
    <x:row r="323">
      <x:c r="A323" s="30" t="str">
        <x:v>V006</x:v>
      </x:c>
      <x:c r="B323" s="30" t="str">
        <x:v>番茄黄瓜双拼</x:v>
      </x:c>
      <x:c r="C323" s="30" t="str">
        <x:v>LINEAR_VEGETABLE_LARGE_BASE</x:v>
      </x:c>
      <x:c r="D323" s="30" t="n">
        <x:v>1.5</x:v>
      </x:c>
      <x:c r="E323" s="30"/>
      <x:c r="F323" s="30"/>
      <x:c r="G323" s="30"/>
      <x:c r="H323" s="30"/>
      <x:c r="I323" s="30"/>
      <x:c r="J323" s="30"/>
      <x:c r="K323" s="30" t="str">
        <x:v>该档位不允许整组件直接缩放</x:v>
      </x:c>
      <x:c r="L323" s="76" t="b">
        <x:v>0</x:v>
      </x:c>
      <x:c r="M323" s="30" t="str">
        <x:v>超出本组件候选执行边界。</x:v>
      </x:c>
      <x:c r="N323" s="30" t="str">
        <x:f>IF(OR(J323="",I323=""),"",ROUND(J323/I323,0)*I323)</x:f>
      </x:c>
    </x:row>
    <x:row r="324">
      <x:c r="A324" s="30" t="str">
        <x:v>V007</x:v>
      </x:c>
      <x:c r="B324" s="30" t="str">
        <x:v>彩椒杏鲍菇</x:v>
      </x:c>
      <x:c r="C324" s="30" t="str">
        <x:v>LINEAR_VEGETABLE_LIMITED</x:v>
      </x:c>
      <x:c r="D324" s="30" t="n">
        <x:v>0.5</x:v>
      </x:c>
      <x:c r="E324" s="30" t="str">
        <x:v>彩椒</x:v>
      </x:c>
      <x:c r="F324" s="30" t="n">
        <x:v>100</x:v>
      </x:c>
      <x:c r="G324" s="30" t="str">
        <x:v>g</x:v>
      </x:c>
      <x:c r="H324" s="30" t="str">
        <x:v>raw_edible_weight</x:v>
      </x:c>
      <x:c r="I324" s="30" t="n">
        <x:v>10</x:v>
      </x:c>
      <x:c r="J324" s="30" t="n">
        <x:v>50</x:v>
      </x:c>
      <x:c r="K324" s="30" t="str">
        <x:v>彩椒50g</x:v>
      </x:c>
      <x:c r="L324" s="76" t="b">
        <x:v>1</x:v>
      </x:c>
      <x:c r="M324" s="30" t="str">
        <x:v>已按MDT确认的Ingredient Master min/max/step执行化；执行量变化后必须重算营养。</x:v>
      </x:c>
      <x:c r="N324" s="30" t="n">
        <x:v>50</x:v>
      </x:c>
    </x:row>
    <x:row r="325">
      <x:c r="A325" s="30" t="str">
        <x:v>V007</x:v>
      </x:c>
      <x:c r="B325" s="30" t="str">
        <x:v>彩椒杏鲍菇</x:v>
      </x:c>
      <x:c r="C325" s="30" t="str">
        <x:v>LINEAR_VEGETABLE_LIMITED</x:v>
      </x:c>
      <x:c r="D325" s="30" t="n">
        <x:v>0.5</x:v>
      </x:c>
      <x:c r="E325" s="30" t="str">
        <x:v>杏鲍菇</x:v>
      </x:c>
      <x:c r="F325" s="30" t="n">
        <x:v>150</x:v>
      </x:c>
      <x:c r="G325" s="30" t="str">
        <x:v>g</x:v>
      </x:c>
      <x:c r="H325" s="30" t="str">
        <x:v>raw_edible_weight</x:v>
      </x:c>
      <x:c r="I325" s="30" t="n">
        <x:v>10</x:v>
      </x:c>
      <x:c r="J325" s="30" t="n">
        <x:v>75</x:v>
      </x:c>
      <x:c r="K325" s="30" t="str">
        <x:v>杏鲍菇80g</x:v>
      </x:c>
      <x:c r="L325" s="76" t="b">
        <x:v>1</x:v>
      </x:c>
      <x:c r="M325" s="30" t="str">
        <x:v>已按MDT确认的Ingredient Master min/max/step执行化；执行量变化后必须重算营养。</x:v>
      </x:c>
      <x:c r="N325" s="30" t="n">
        <x:v>80</x:v>
      </x:c>
    </x:row>
    <x:row r="326">
      <x:c r="A326" s="30" t="str">
        <x:v>V007</x:v>
      </x:c>
      <x:c r="B326" s="30" t="str">
        <x:v>彩椒杏鲍菇</x:v>
      </x:c>
      <x:c r="C326" s="30" t="str">
        <x:v>LINEAR_VEGETABLE_LIMITED</x:v>
      </x:c>
      <x:c r="D326" s="30" t="n">
        <x:v>0.5</x:v>
      </x:c>
      <x:c r="E326" s="30" t="str">
        <x:v>植物油</x:v>
      </x:c>
      <x:c r="F326" s="30" t="n">
        <x:v>5</x:v>
      </x:c>
      <x:c r="G326" s="30" t="str">
        <x:v>g</x:v>
      </x:c>
      <x:c r="H326" s="30" t="str">
        <x:v>added_weight</x:v>
      </x:c>
      <x:c r="I326" s="30" t="n">
        <x:v>1</x:v>
      </x:c>
      <x:c r="J326" s="30" t="n">
        <x:v>2.5</x:v>
      </x:c>
      <x:c r="K326" s="30" t="str">
        <x:v>植物油3g</x:v>
      </x:c>
      <x:c r="L326" s="76" t="b">
        <x:v>1</x:v>
      </x:c>
      <x:c r="M326" s="30" t="str">
        <x:v>已按MDT确认的Ingredient Master min/max/step执行化；执行量变化后必须重算营养。</x:v>
      </x:c>
      <x:c r="N326" s="30" t="n">
        <x:v>3</x:v>
      </x:c>
    </x:row>
    <x:row r="327">
      <x:c r="A327" s="30" t="str">
        <x:v>V007</x:v>
      </x:c>
      <x:c r="B327" s="30" t="str">
        <x:v>彩椒杏鲍菇</x:v>
      </x:c>
      <x:c r="C327" s="30" t="str">
        <x:v>LINEAR_VEGETABLE_LIMITED</x:v>
      </x:c>
      <x:c r="D327" s="30" t="n">
        <x:v>0.75</x:v>
      </x:c>
      <x:c r="E327" s="30" t="str">
        <x:v>彩椒</x:v>
      </x:c>
      <x:c r="F327" s="30" t="n">
        <x:v>100</x:v>
      </x:c>
      <x:c r="G327" s="30" t="str">
        <x:v>g</x:v>
      </x:c>
      <x:c r="H327" s="30" t="str">
        <x:v>raw_edible_weight</x:v>
      </x:c>
      <x:c r="I327" s="30" t="n">
        <x:v>10</x:v>
      </x:c>
      <x:c r="J327" s="30" t="n">
        <x:v>75</x:v>
      </x:c>
      <x:c r="K327" s="30" t="str">
        <x:v>彩椒80g</x:v>
      </x:c>
      <x:c r="L327" s="76" t="b">
        <x:v>1</x:v>
      </x:c>
      <x:c r="M327" s="30" t="str">
        <x:v>已按MDT确认的Ingredient Master min/max/step执行化；执行量变化后必须重算营养。</x:v>
      </x:c>
      <x:c r="N327" s="30" t="n">
        <x:v>80</x:v>
      </x:c>
    </x:row>
    <x:row r="328">
      <x:c r="A328" s="30" t="str">
        <x:v>V007</x:v>
      </x:c>
      <x:c r="B328" s="30" t="str">
        <x:v>彩椒杏鲍菇</x:v>
      </x:c>
      <x:c r="C328" s="30" t="str">
        <x:v>LINEAR_VEGETABLE_LIMITED</x:v>
      </x:c>
      <x:c r="D328" s="30" t="n">
        <x:v>0.75</x:v>
      </x:c>
      <x:c r="E328" s="30" t="str">
        <x:v>杏鲍菇</x:v>
      </x:c>
      <x:c r="F328" s="30" t="n">
        <x:v>150</x:v>
      </x:c>
      <x:c r="G328" s="30" t="str">
        <x:v>g</x:v>
      </x:c>
      <x:c r="H328" s="30" t="str">
        <x:v>raw_edible_weight</x:v>
      </x:c>
      <x:c r="I328" s="30" t="n">
        <x:v>10</x:v>
      </x:c>
      <x:c r="J328" s="30" t="n">
        <x:v>112.5</x:v>
      </x:c>
      <x:c r="K328" s="30" t="str">
        <x:v>杏鲍菇110g</x:v>
      </x:c>
      <x:c r="L328" s="76" t="b">
        <x:v>1</x:v>
      </x:c>
      <x:c r="M328" s="30" t="str">
        <x:v>已按MDT确认的Ingredient Master min/max/step执行化；执行量变化后必须重算营养。</x:v>
      </x:c>
      <x:c r="N328" s="30" t="n">
        <x:v>110</x:v>
      </x:c>
    </x:row>
    <x:row r="329">
      <x:c r="A329" s="30" t="str">
        <x:v>V007</x:v>
      </x:c>
      <x:c r="B329" s="30" t="str">
        <x:v>彩椒杏鲍菇</x:v>
      </x:c>
      <x:c r="C329" s="30" t="str">
        <x:v>LINEAR_VEGETABLE_LIMITED</x:v>
      </x:c>
      <x:c r="D329" s="30" t="n">
        <x:v>0.75</x:v>
      </x:c>
      <x:c r="E329" s="30" t="str">
        <x:v>植物油</x:v>
      </x:c>
      <x:c r="F329" s="30" t="n">
        <x:v>5</x:v>
      </x:c>
      <x:c r="G329" s="30" t="str">
        <x:v>g</x:v>
      </x:c>
      <x:c r="H329" s="30" t="str">
        <x:v>added_weight</x:v>
      </x:c>
      <x:c r="I329" s="30" t="n">
        <x:v>1</x:v>
      </x:c>
      <x:c r="J329" s="30" t="n">
        <x:v>3.75</x:v>
      </x:c>
      <x:c r="K329" s="30" t="str">
        <x:v>植物油4g</x:v>
      </x:c>
      <x:c r="L329" s="76" t="b">
        <x:v>1</x:v>
      </x:c>
      <x:c r="M329" s="30" t="str">
        <x:v>已按MDT确认的Ingredient Master min/max/step执行化；执行量变化后必须重算营养。</x:v>
      </x:c>
      <x:c r="N329" s="30" t="n">
        <x:v>4</x:v>
      </x:c>
    </x:row>
    <x:row r="330">
      <x:c r="A330" s="30" t="str">
        <x:v>V007</x:v>
      </x:c>
      <x:c r="B330" s="30" t="str">
        <x:v>彩椒杏鲍菇</x:v>
      </x:c>
      <x:c r="C330" s="30" t="str">
        <x:v>LINEAR_VEGETABLE_LIMITED</x:v>
      </x:c>
      <x:c r="D330" s="30" t="n">
        <x:v>1</x:v>
      </x:c>
      <x:c r="E330" s="30" t="str">
        <x:v>彩椒</x:v>
      </x:c>
      <x:c r="F330" s="30" t="n">
        <x:v>100</x:v>
      </x:c>
      <x:c r="G330" s="30" t="str">
        <x:v>g</x:v>
      </x:c>
      <x:c r="H330" s="30" t="str">
        <x:v>raw_edible_weight</x:v>
      </x:c>
      <x:c r="I330" s="30" t="n">
        <x:v>10</x:v>
      </x:c>
      <x:c r="J330" s="30" t="n">
        <x:v>100</x:v>
      </x:c>
      <x:c r="K330" s="30" t="str">
        <x:v>彩椒100g</x:v>
      </x:c>
      <x:c r="L330" s="76" t="b">
        <x:v>1</x:v>
      </x:c>
      <x:c r="M330" s="30" t="str">
        <x:v>已按MDT确认的Ingredient Master min/max/step执行化；执行量变化后必须重算营养。</x:v>
      </x:c>
      <x:c r="N330" s="30" t="n">
        <x:v>100</x:v>
      </x:c>
    </x:row>
    <x:row r="331">
      <x:c r="A331" s="30" t="str">
        <x:v>V007</x:v>
      </x:c>
      <x:c r="B331" s="30" t="str">
        <x:v>彩椒杏鲍菇</x:v>
      </x:c>
      <x:c r="C331" s="30" t="str">
        <x:v>LINEAR_VEGETABLE_LIMITED</x:v>
      </x:c>
      <x:c r="D331" s="30" t="n">
        <x:v>1</x:v>
      </x:c>
      <x:c r="E331" s="30" t="str">
        <x:v>杏鲍菇</x:v>
      </x:c>
      <x:c r="F331" s="30" t="n">
        <x:v>150</x:v>
      </x:c>
      <x:c r="G331" s="30" t="str">
        <x:v>g</x:v>
      </x:c>
      <x:c r="H331" s="30" t="str">
        <x:v>raw_edible_weight</x:v>
      </x:c>
      <x:c r="I331" s="30" t="n">
        <x:v>10</x:v>
      </x:c>
      <x:c r="J331" s="30" t="n">
        <x:v>150</x:v>
      </x:c>
      <x:c r="K331" s="30" t="str">
        <x:v>杏鲍菇150g</x:v>
      </x:c>
      <x:c r="L331" s="76" t="b">
        <x:v>1</x:v>
      </x:c>
      <x:c r="M331" s="30" t="str">
        <x:v>已按MDT确认的Ingredient Master min/max/step执行化；执行量变化后必须重算营养。</x:v>
      </x:c>
      <x:c r="N331" s="30" t="n">
        <x:v>150</x:v>
      </x:c>
    </x:row>
    <x:row r="332">
      <x:c r="A332" s="30" t="str">
        <x:v>V007</x:v>
      </x:c>
      <x:c r="B332" s="30" t="str">
        <x:v>彩椒杏鲍菇</x:v>
      </x:c>
      <x:c r="C332" s="30" t="str">
        <x:v>LINEAR_VEGETABLE_LIMITED</x:v>
      </x:c>
      <x:c r="D332" s="30" t="n">
        <x:v>1</x:v>
      </x:c>
      <x:c r="E332" s="30" t="str">
        <x:v>植物油</x:v>
      </x:c>
      <x:c r="F332" s="30" t="n">
        <x:v>5</x:v>
      </x:c>
      <x:c r="G332" s="30" t="str">
        <x:v>g</x:v>
      </x:c>
      <x:c r="H332" s="30" t="str">
        <x:v>added_weight</x:v>
      </x:c>
      <x:c r="I332" s="30" t="n">
        <x:v>1</x:v>
      </x:c>
      <x:c r="J332" s="30" t="n">
        <x:v>5</x:v>
      </x:c>
      <x:c r="K332" s="30" t="str">
        <x:v>植物油5g</x:v>
      </x:c>
      <x:c r="L332" s="76" t="b">
        <x:v>1</x:v>
      </x:c>
      <x:c r="M332" s="30" t="str">
        <x:v>已按MDT确认的Ingredient Master min/max/step执行化；执行量变化后必须重算营养。</x:v>
      </x:c>
      <x:c r="N332" s="30" t="n">
        <x:v>5</x:v>
      </x:c>
    </x:row>
    <x:row r="333">
      <x:c r="A333" s="30" t="str">
        <x:v>V007</x:v>
      </x:c>
      <x:c r="B333" s="30" t="str">
        <x:v>彩椒杏鲍菇</x:v>
      </x:c>
      <x:c r="C333" s="30" t="str">
        <x:v>LINEAR_VEGETABLE_LIMITED</x:v>
      </x:c>
      <x:c r="D333" s="30" t="n">
        <x:v>1.25</x:v>
      </x:c>
      <x:c r="E333" s="30" t="str">
        <x:v>彩椒</x:v>
      </x:c>
      <x:c r="F333" s="30" t="n">
        <x:v>100</x:v>
      </x:c>
      <x:c r="G333" s="30" t="str">
        <x:v>g</x:v>
      </x:c>
      <x:c r="H333" s="30" t="str">
        <x:v>raw_edible_weight</x:v>
      </x:c>
      <x:c r="I333" s="30" t="n">
        <x:v>10</x:v>
      </x:c>
      <x:c r="J333" s="30" t="n">
        <x:v>125</x:v>
      </x:c>
      <x:c r="K333" s="30" t="str">
        <x:v>彩椒130g</x:v>
      </x:c>
      <x:c r="L333" s="76" t="b">
        <x:v>1</x:v>
      </x:c>
      <x:c r="M333" s="30" t="str">
        <x:v>已按MDT确认的Ingredient Master min/max/step执行化；执行量变化后必须重算营养。</x:v>
      </x:c>
      <x:c r="N333" s="30" t="n">
        <x:v>130</x:v>
      </x:c>
    </x:row>
    <x:row r="334">
      <x:c r="A334" s="30" t="str">
        <x:v>V007</x:v>
      </x:c>
      <x:c r="B334" s="30" t="str">
        <x:v>彩椒杏鲍菇</x:v>
      </x:c>
      <x:c r="C334" s="30" t="str">
        <x:v>LINEAR_VEGETABLE_LIMITED</x:v>
      </x:c>
      <x:c r="D334" s="30" t="n">
        <x:v>1.25</x:v>
      </x:c>
      <x:c r="E334" s="30" t="str">
        <x:v>杏鲍菇</x:v>
      </x:c>
      <x:c r="F334" s="30" t="n">
        <x:v>150</x:v>
      </x:c>
      <x:c r="G334" s="30" t="str">
        <x:v>g</x:v>
      </x:c>
      <x:c r="H334" s="30" t="str">
        <x:v>raw_edible_weight</x:v>
      </x:c>
      <x:c r="I334" s="30" t="n">
        <x:v>10</x:v>
      </x:c>
      <x:c r="J334" s="30" t="n">
        <x:v>187.5</x:v>
      </x:c>
      <x:c r="K334" s="30" t="str">
        <x:v>该scale超出Ingredient Master执行边界</x:v>
      </x:c>
      <x:c r="L334" s="76" t="b">
        <x:v>0</x:v>
      </x:c>
      <x:c r="M334" s="30" t="str">
        <x:v>禁止该scale；不得为保留统一0.5/0.75/1.25/1.5而突破基础食材边界。</x:v>
      </x:c>
      <x:c r="N334" s="30"/>
    </x:row>
    <x:row r="335">
      <x:c r="A335" s="30" t="str">
        <x:v>V007</x:v>
      </x:c>
      <x:c r="B335" s="30" t="str">
        <x:v>彩椒杏鲍菇</x:v>
      </x:c>
      <x:c r="C335" s="30" t="str">
        <x:v>LINEAR_VEGETABLE_LIMITED</x:v>
      </x:c>
      <x:c r="D335" s="30" t="n">
        <x:v>1.25</x:v>
      </x:c>
      <x:c r="E335" s="30" t="str">
        <x:v>植物油</x:v>
      </x:c>
      <x:c r="F335" s="30" t="n">
        <x:v>5</x:v>
      </x:c>
      <x:c r="G335" s="30" t="str">
        <x:v>g</x:v>
      </x:c>
      <x:c r="H335" s="30" t="str">
        <x:v>added_weight</x:v>
      </x:c>
      <x:c r="I335" s="30" t="n">
        <x:v>1</x:v>
      </x:c>
      <x:c r="J335" s="30" t="n">
        <x:v>6.25</x:v>
      </x:c>
      <x:c r="K335" s="30" t="str">
        <x:v>植物油6g</x:v>
      </x:c>
      <x:c r="L335" s="76" t="b">
        <x:v>1</x:v>
      </x:c>
      <x:c r="M335" s="30" t="str">
        <x:v>已按MDT确认的Ingredient Master min/max/step执行化；执行量变化后必须重算营养。</x:v>
      </x:c>
      <x:c r="N335" s="30" t="n">
        <x:v>6</x:v>
      </x:c>
    </x:row>
    <x:row r="336">
      <x:c r="A336" s="30" t="str">
        <x:v>V007</x:v>
      </x:c>
      <x:c r="B336" s="30" t="str">
        <x:v>彩椒杏鲍菇</x:v>
      </x:c>
      <x:c r="C336" s="30" t="str">
        <x:v>LINEAR_VEGETABLE_LIMITED</x:v>
      </x:c>
      <x:c r="D336" s="30" t="n">
        <x:v>1.5</x:v>
      </x:c>
      <x:c r="E336" s="30"/>
      <x:c r="F336" s="30"/>
      <x:c r="G336" s="30"/>
      <x:c r="H336" s="30"/>
      <x:c r="I336" s="30"/>
      <x:c r="J336" s="30"/>
      <x:c r="K336" s="30" t="str">
        <x:v>该档位不允许整组件直接缩放</x:v>
      </x:c>
      <x:c r="L336" s="76" t="b">
        <x:v>0</x:v>
      </x:c>
      <x:c r="M336" s="30" t="str">
        <x:v>超出本组件候选执行边界。</x:v>
      </x:c>
      <x:c r="N336" s="30" t="str">
        <x:f>IF(OR(J336="",I336=""),"",ROUND(J336/I336,0)*I336)</x:f>
      </x:c>
    </x:row>
    <x:row r="337">
      <x:c r="A337" s="30" t="str">
        <x:v>V008</x:v>
      </x:c>
      <x:c r="B337" s="30" t="str">
        <x:v>胡萝卜西葫芦</x:v>
      </x:c>
      <x:c r="C337" s="30" t="str">
        <x:v>LINEAR_VEGETABLE_LIMITED</x:v>
      </x:c>
      <x:c r="D337" s="30" t="n">
        <x:v>0.5</x:v>
      </x:c>
      <x:c r="E337" s="30" t="str">
        <x:v>胡萝卜</x:v>
      </x:c>
      <x:c r="F337" s="30" t="n">
        <x:v>80</x:v>
      </x:c>
      <x:c r="G337" s="30" t="str">
        <x:v>g</x:v>
      </x:c>
      <x:c r="H337" s="30" t="str">
        <x:v>raw_edible_weight</x:v>
      </x:c>
      <x:c r="I337" s="30" t="n">
        <x:v>10</x:v>
      </x:c>
      <x:c r="J337" s="30" t="n">
        <x:v>40</x:v>
      </x:c>
      <x:c r="K337" s="30" t="str">
        <x:v>胡萝卜40g</x:v>
      </x:c>
      <x:c r="L337" s="76" t="b">
        <x:v>1</x:v>
      </x:c>
      <x:c r="M337" s="30" t="str">
        <x:v>已按MDT确认的Ingredient Master min/max/step执行化；执行量变化后必须重算营养。</x:v>
      </x:c>
      <x:c r="N337" s="30" t="n">
        <x:v>40</x:v>
      </x:c>
    </x:row>
    <x:row r="338">
      <x:c r="A338" s="30" t="str">
        <x:v>V008</x:v>
      </x:c>
      <x:c r="B338" s="30" t="str">
        <x:v>胡萝卜西葫芦</x:v>
      </x:c>
      <x:c r="C338" s="30" t="str">
        <x:v>LINEAR_VEGETABLE_LIMITED</x:v>
      </x:c>
      <x:c r="D338" s="30" t="n">
        <x:v>0.5</x:v>
      </x:c>
      <x:c r="E338" s="30" t="str">
        <x:v>西葫芦</x:v>
      </x:c>
      <x:c r="F338" s="30" t="n">
        <x:v>180</x:v>
      </x:c>
      <x:c r="G338" s="30" t="str">
        <x:v>g</x:v>
      </x:c>
      <x:c r="H338" s="30" t="str">
        <x:v>raw_edible_weight</x:v>
      </x:c>
      <x:c r="I338" s="30" t="n">
        <x:v>10</x:v>
      </x:c>
      <x:c r="J338" s="30" t="n">
        <x:v>90</x:v>
      </x:c>
      <x:c r="K338" s="30" t="str">
        <x:v>西葫芦90g</x:v>
      </x:c>
      <x:c r="L338" s="76" t="b">
        <x:v>1</x:v>
      </x:c>
      <x:c r="M338" s="30" t="str">
        <x:v>已按MDT确认的Ingredient Master min/max/step执行化；执行量变化后必须重算营养。</x:v>
      </x:c>
      <x:c r="N338" s="30" t="n">
        <x:v>90</x:v>
      </x:c>
    </x:row>
    <x:row r="339">
      <x:c r="A339" s="30" t="str">
        <x:v>V008</x:v>
      </x:c>
      <x:c r="B339" s="30" t="str">
        <x:v>胡萝卜西葫芦</x:v>
      </x:c>
      <x:c r="C339" s="30" t="str">
        <x:v>LINEAR_VEGETABLE_LIMITED</x:v>
      </x:c>
      <x:c r="D339" s="30" t="n">
        <x:v>0.5</x:v>
      </x:c>
      <x:c r="E339" s="30" t="str">
        <x:v>植物油</x:v>
      </x:c>
      <x:c r="F339" s="30" t="n">
        <x:v>5</x:v>
      </x:c>
      <x:c r="G339" s="30" t="str">
        <x:v>g</x:v>
      </x:c>
      <x:c r="H339" s="30" t="str">
        <x:v>added_weight</x:v>
      </x:c>
      <x:c r="I339" s="30" t="n">
        <x:v>1</x:v>
      </x:c>
      <x:c r="J339" s="30" t="n">
        <x:v>2.5</x:v>
      </x:c>
      <x:c r="K339" s="30" t="str">
        <x:v>植物油3g</x:v>
      </x:c>
      <x:c r="L339" s="76" t="b">
        <x:v>1</x:v>
      </x:c>
      <x:c r="M339" s="30" t="str">
        <x:v>已按MDT确认的Ingredient Master min/max/step执行化；执行量变化后必须重算营养。</x:v>
      </x:c>
      <x:c r="N339" s="30" t="n">
        <x:v>3</x:v>
      </x:c>
    </x:row>
    <x:row r="340">
      <x:c r="A340" s="30" t="str">
        <x:v>V008</x:v>
      </x:c>
      <x:c r="B340" s="30" t="str">
        <x:v>胡萝卜西葫芦</x:v>
      </x:c>
      <x:c r="C340" s="30" t="str">
        <x:v>LINEAR_VEGETABLE_LIMITED</x:v>
      </x:c>
      <x:c r="D340" s="30" t="n">
        <x:v>0.75</x:v>
      </x:c>
      <x:c r="E340" s="30" t="str">
        <x:v>胡萝卜</x:v>
      </x:c>
      <x:c r="F340" s="30" t="n">
        <x:v>80</x:v>
      </x:c>
      <x:c r="G340" s="30" t="str">
        <x:v>g</x:v>
      </x:c>
      <x:c r="H340" s="30" t="str">
        <x:v>raw_edible_weight</x:v>
      </x:c>
      <x:c r="I340" s="30" t="n">
        <x:v>10</x:v>
      </x:c>
      <x:c r="J340" s="30" t="n">
        <x:v>60</x:v>
      </x:c>
      <x:c r="K340" s="30" t="str">
        <x:v>胡萝卜60g</x:v>
      </x:c>
      <x:c r="L340" s="76" t="b">
        <x:v>1</x:v>
      </x:c>
      <x:c r="M340" s="30" t="str">
        <x:v>已按MDT确认的Ingredient Master min/max/step执行化；执行量变化后必须重算营养。</x:v>
      </x:c>
      <x:c r="N340" s="30" t="n">
        <x:v>60</x:v>
      </x:c>
    </x:row>
    <x:row r="341">
      <x:c r="A341" s="30" t="str">
        <x:v>V008</x:v>
      </x:c>
      <x:c r="B341" s="30" t="str">
        <x:v>胡萝卜西葫芦</x:v>
      </x:c>
      <x:c r="C341" s="30" t="str">
        <x:v>LINEAR_VEGETABLE_LIMITED</x:v>
      </x:c>
      <x:c r="D341" s="30" t="n">
        <x:v>0.75</x:v>
      </x:c>
      <x:c r="E341" s="30" t="str">
        <x:v>西葫芦</x:v>
      </x:c>
      <x:c r="F341" s="30" t="n">
        <x:v>180</x:v>
      </x:c>
      <x:c r="G341" s="30" t="str">
        <x:v>g</x:v>
      </x:c>
      <x:c r="H341" s="30" t="str">
        <x:v>raw_edible_weight</x:v>
      </x:c>
      <x:c r="I341" s="30" t="n">
        <x:v>10</x:v>
      </x:c>
      <x:c r="J341" s="30" t="n">
        <x:v>135</x:v>
      </x:c>
      <x:c r="K341" s="30" t="str">
        <x:v>西葫芦140g</x:v>
      </x:c>
      <x:c r="L341" s="76" t="b">
        <x:v>1</x:v>
      </x:c>
      <x:c r="M341" s="30" t="str">
        <x:v>已按MDT确认的Ingredient Master min/max/step执行化；执行量变化后必须重算营养。</x:v>
      </x:c>
      <x:c r="N341" s="30" t="n">
        <x:v>140</x:v>
      </x:c>
    </x:row>
    <x:row r="342">
      <x:c r="A342" s="30" t="str">
        <x:v>V008</x:v>
      </x:c>
      <x:c r="B342" s="30" t="str">
        <x:v>胡萝卜西葫芦</x:v>
      </x:c>
      <x:c r="C342" s="30" t="str">
        <x:v>LINEAR_VEGETABLE_LIMITED</x:v>
      </x:c>
      <x:c r="D342" s="30" t="n">
        <x:v>0.75</x:v>
      </x:c>
      <x:c r="E342" s="30" t="str">
        <x:v>植物油</x:v>
      </x:c>
      <x:c r="F342" s="30" t="n">
        <x:v>5</x:v>
      </x:c>
      <x:c r="G342" s="30" t="str">
        <x:v>g</x:v>
      </x:c>
      <x:c r="H342" s="30" t="str">
        <x:v>added_weight</x:v>
      </x:c>
      <x:c r="I342" s="30" t="n">
        <x:v>1</x:v>
      </x:c>
      <x:c r="J342" s="30" t="n">
        <x:v>3.75</x:v>
      </x:c>
      <x:c r="K342" s="30" t="str">
        <x:v>植物油4g</x:v>
      </x:c>
      <x:c r="L342" s="76" t="b">
        <x:v>1</x:v>
      </x:c>
      <x:c r="M342" s="30" t="str">
        <x:v>已按MDT确认的Ingredient Master min/max/step执行化；执行量变化后必须重算营养。</x:v>
      </x:c>
      <x:c r="N342" s="30" t="n">
        <x:v>4</x:v>
      </x:c>
    </x:row>
    <x:row r="343">
      <x:c r="A343" s="30" t="str">
        <x:v>V008</x:v>
      </x:c>
      <x:c r="B343" s="30" t="str">
        <x:v>胡萝卜西葫芦</x:v>
      </x:c>
      <x:c r="C343" s="30" t="str">
        <x:v>LINEAR_VEGETABLE_LIMITED</x:v>
      </x:c>
      <x:c r="D343" s="30" t="n">
        <x:v>1</x:v>
      </x:c>
      <x:c r="E343" s="30" t="str">
        <x:v>胡萝卜</x:v>
      </x:c>
      <x:c r="F343" s="30" t="n">
        <x:v>80</x:v>
      </x:c>
      <x:c r="G343" s="30" t="str">
        <x:v>g</x:v>
      </x:c>
      <x:c r="H343" s="30" t="str">
        <x:v>raw_edible_weight</x:v>
      </x:c>
      <x:c r="I343" s="30" t="n">
        <x:v>10</x:v>
      </x:c>
      <x:c r="J343" s="30" t="n">
        <x:v>80</x:v>
      </x:c>
      <x:c r="K343" s="30" t="str">
        <x:v>胡萝卜80g</x:v>
      </x:c>
      <x:c r="L343" s="76" t="b">
        <x:v>1</x:v>
      </x:c>
      <x:c r="M343" s="30" t="str">
        <x:v>已按MDT确认的Ingredient Master min/max/step执行化；执行量变化后必须重算营养。</x:v>
      </x:c>
      <x:c r="N343" s="30" t="n">
        <x:v>80</x:v>
      </x:c>
    </x:row>
    <x:row r="344">
      <x:c r="A344" s="30" t="str">
        <x:v>V008</x:v>
      </x:c>
      <x:c r="B344" s="30" t="str">
        <x:v>胡萝卜西葫芦</x:v>
      </x:c>
      <x:c r="C344" s="30" t="str">
        <x:v>LINEAR_VEGETABLE_LIMITED</x:v>
      </x:c>
      <x:c r="D344" s="30" t="n">
        <x:v>1</x:v>
      </x:c>
      <x:c r="E344" s="30" t="str">
        <x:v>西葫芦</x:v>
      </x:c>
      <x:c r="F344" s="30" t="n">
        <x:v>180</x:v>
      </x:c>
      <x:c r="G344" s="30" t="str">
        <x:v>g</x:v>
      </x:c>
      <x:c r="H344" s="30" t="str">
        <x:v>raw_edible_weight</x:v>
      </x:c>
      <x:c r="I344" s="30" t="n">
        <x:v>10</x:v>
      </x:c>
      <x:c r="J344" s="30" t="n">
        <x:v>180</x:v>
      </x:c>
      <x:c r="K344" s="30" t="str">
        <x:v>西葫芦180g</x:v>
      </x:c>
      <x:c r="L344" s="76" t="b">
        <x:v>1</x:v>
      </x:c>
      <x:c r="M344" s="30" t="str">
        <x:v>已按MDT确认的Ingredient Master min/max/step执行化；执行量变化后必须重算营养。</x:v>
      </x:c>
      <x:c r="N344" s="30" t="n">
        <x:v>180</x:v>
      </x:c>
    </x:row>
    <x:row r="345">
      <x:c r="A345" s="30" t="str">
        <x:v>V008</x:v>
      </x:c>
      <x:c r="B345" s="30" t="str">
        <x:v>胡萝卜西葫芦</x:v>
      </x:c>
      <x:c r="C345" s="30" t="str">
        <x:v>LINEAR_VEGETABLE_LIMITED</x:v>
      </x:c>
      <x:c r="D345" s="30" t="n">
        <x:v>1</x:v>
      </x:c>
      <x:c r="E345" s="30" t="str">
        <x:v>植物油</x:v>
      </x:c>
      <x:c r="F345" s="30" t="n">
        <x:v>5</x:v>
      </x:c>
      <x:c r="G345" s="30" t="str">
        <x:v>g</x:v>
      </x:c>
      <x:c r="H345" s="30" t="str">
        <x:v>added_weight</x:v>
      </x:c>
      <x:c r="I345" s="30" t="n">
        <x:v>1</x:v>
      </x:c>
      <x:c r="J345" s="30" t="n">
        <x:v>5</x:v>
      </x:c>
      <x:c r="K345" s="30" t="str">
        <x:v>植物油5g</x:v>
      </x:c>
      <x:c r="L345" s="76" t="b">
        <x:v>1</x:v>
      </x:c>
      <x:c r="M345" s="30" t="str">
        <x:v>已按MDT确认的Ingredient Master min/max/step执行化；执行量变化后必须重算营养。</x:v>
      </x:c>
      <x:c r="N345" s="30" t="n">
        <x:v>5</x:v>
      </x:c>
    </x:row>
    <x:row r="346">
      <x:c r="A346" s="30" t="str">
        <x:v>V008</x:v>
      </x:c>
      <x:c r="B346" s="30" t="str">
        <x:v>胡萝卜西葫芦</x:v>
      </x:c>
      <x:c r="C346" s="30" t="str">
        <x:v>LINEAR_VEGETABLE_LIMITED</x:v>
      </x:c>
      <x:c r="D346" s="30" t="n">
        <x:v>1.25</x:v>
      </x:c>
      <x:c r="E346" s="30" t="str">
        <x:v>胡萝卜</x:v>
      </x:c>
      <x:c r="F346" s="30" t="n">
        <x:v>80</x:v>
      </x:c>
      <x:c r="G346" s="30" t="str">
        <x:v>g</x:v>
      </x:c>
      <x:c r="H346" s="30" t="str">
        <x:v>raw_edible_weight</x:v>
      </x:c>
      <x:c r="I346" s="30" t="n">
        <x:v>10</x:v>
      </x:c>
      <x:c r="J346" s="30" t="n">
        <x:v>100</x:v>
      </x:c>
      <x:c r="K346" s="30" t="str">
        <x:v>胡萝卜100g</x:v>
      </x:c>
      <x:c r="L346" s="76" t="b">
        <x:v>1</x:v>
      </x:c>
      <x:c r="M346" s="30" t="str">
        <x:v>已按MDT确认的Ingredient Master min/max/step执行化；执行量变化后必须重算营养。</x:v>
      </x:c>
      <x:c r="N346" s="30" t="n">
        <x:v>100</x:v>
      </x:c>
    </x:row>
    <x:row r="347">
      <x:c r="A347" s="30" t="str">
        <x:v>V008</x:v>
      </x:c>
      <x:c r="B347" s="30" t="str">
        <x:v>胡萝卜西葫芦</x:v>
      </x:c>
      <x:c r="C347" s="30" t="str">
        <x:v>LINEAR_VEGETABLE_LIMITED</x:v>
      </x:c>
      <x:c r="D347" s="30" t="n">
        <x:v>1.25</x:v>
      </x:c>
      <x:c r="E347" s="30" t="str">
        <x:v>西葫芦</x:v>
      </x:c>
      <x:c r="F347" s="30" t="n">
        <x:v>180</x:v>
      </x:c>
      <x:c r="G347" s="30" t="str">
        <x:v>g</x:v>
      </x:c>
      <x:c r="H347" s="30" t="str">
        <x:v>raw_edible_weight</x:v>
      </x:c>
      <x:c r="I347" s="30" t="n">
        <x:v>10</x:v>
      </x:c>
      <x:c r="J347" s="30" t="n">
        <x:v>225</x:v>
      </x:c>
      <x:c r="K347" s="30" t="str">
        <x:v>西葫芦230g</x:v>
      </x:c>
      <x:c r="L347" s="76" t="b">
        <x:v>1</x:v>
      </x:c>
      <x:c r="M347" s="30" t="str">
        <x:v>已按MDT确认的Ingredient Master min/max/step执行化；执行量变化后必须重算营养。</x:v>
      </x:c>
      <x:c r="N347" s="30" t="n">
        <x:v>230</x:v>
      </x:c>
    </x:row>
    <x:row r="348">
      <x:c r="A348" s="30" t="str">
        <x:v>V008</x:v>
      </x:c>
      <x:c r="B348" s="30" t="str">
        <x:v>胡萝卜西葫芦</x:v>
      </x:c>
      <x:c r="C348" s="30" t="str">
        <x:v>LINEAR_VEGETABLE_LIMITED</x:v>
      </x:c>
      <x:c r="D348" s="30" t="n">
        <x:v>1.25</x:v>
      </x:c>
      <x:c r="E348" s="30" t="str">
        <x:v>植物油</x:v>
      </x:c>
      <x:c r="F348" s="30" t="n">
        <x:v>5</x:v>
      </x:c>
      <x:c r="G348" s="30" t="str">
        <x:v>g</x:v>
      </x:c>
      <x:c r="H348" s="30" t="str">
        <x:v>added_weight</x:v>
      </x:c>
      <x:c r="I348" s="30" t="n">
        <x:v>1</x:v>
      </x:c>
      <x:c r="J348" s="30" t="n">
        <x:v>6.25</x:v>
      </x:c>
      <x:c r="K348" s="30" t="str">
        <x:v>植物油6g</x:v>
      </x:c>
      <x:c r="L348" s="76" t="b">
        <x:v>1</x:v>
      </x:c>
      <x:c r="M348" s="30" t="str">
        <x:v>已按MDT确认的Ingredient Master min/max/step执行化；执行量变化后必须重算营养。</x:v>
      </x:c>
      <x:c r="N348" s="30" t="n">
        <x:v>6</x:v>
      </x:c>
    </x:row>
    <x:row r="349">
      <x:c r="A349" s="30" t="str">
        <x:v>V008</x:v>
      </x:c>
      <x:c r="B349" s="30" t="str">
        <x:v>胡萝卜西葫芦</x:v>
      </x:c>
      <x:c r="C349" s="30" t="str">
        <x:v>LINEAR_VEGETABLE_LIMITED</x:v>
      </x:c>
      <x:c r="D349" s="30" t="n">
        <x:v>1.5</x:v>
      </x:c>
      <x:c r="E349" s="30"/>
      <x:c r="F349" s="30"/>
      <x:c r="G349" s="30"/>
      <x:c r="H349" s="30"/>
      <x:c r="I349" s="30"/>
      <x:c r="J349" s="30"/>
      <x:c r="K349" s="30" t="str">
        <x:v>该档位不允许整组件直接缩放</x:v>
      </x:c>
      <x:c r="L349" s="76" t="b">
        <x:v>0</x:v>
      </x:c>
      <x:c r="M349" s="30" t="str">
        <x:v>超出本组件候选执行边界。</x:v>
      </x:c>
      <x:c r="N349" s="30" t="str">
        <x:f>IF(OR(J349="",I349=""),"",ROUND(J349/I349,0)*I349)</x:f>
      </x:c>
    </x:row>
    <x:row r="350">
      <x:c r="A350" s="30" t="str">
        <x:v>V009</x:v>
      </x:c>
      <x:c r="B350" s="30" t="str">
        <x:v>冬瓜香菇</x:v>
      </x:c>
      <x:c r="C350" s="30" t="str">
        <x:v>LINEAR_VEGETABLE_LARGE_BASE</x:v>
      </x:c>
      <x:c r="D350" s="30" t="n">
        <x:v>0.5</x:v>
      </x:c>
      <x:c r="E350" s="30" t="str">
        <x:v>冬瓜</x:v>
      </x:c>
      <x:c r="F350" s="30" t="n">
        <x:v>250</x:v>
      </x:c>
      <x:c r="G350" s="30" t="str">
        <x:v>g</x:v>
      </x:c>
      <x:c r="H350" s="30" t="str">
        <x:v>raw_edible_weight</x:v>
      </x:c>
      <x:c r="I350" s="30" t="n">
        <x:v>10</x:v>
      </x:c>
      <x:c r="J350" s="30" t="n">
        <x:v>125</x:v>
      </x:c>
      <x:c r="K350" s="30" t="str">
        <x:v>冬瓜130g</x:v>
      </x:c>
      <x:c r="L350" s="76" t="b">
        <x:v>1</x:v>
      </x:c>
      <x:c r="M350" s="30" t="str">
        <x:v>已按MDT确认的Ingredient Master min/max/step执行化；执行量变化后必须重算营养。</x:v>
      </x:c>
      <x:c r="N350" s="30" t="n">
        <x:v>130</x:v>
      </x:c>
    </x:row>
    <x:row r="351">
      <x:c r="A351" s="30" t="str">
        <x:v>V009</x:v>
      </x:c>
      <x:c r="B351" s="30" t="str">
        <x:v>冬瓜香菇</x:v>
      </x:c>
      <x:c r="C351" s="30" t="str">
        <x:v>LINEAR_VEGETABLE_LARGE_BASE</x:v>
      </x:c>
      <x:c r="D351" s="30" t="n">
        <x:v>0.5</x:v>
      </x:c>
      <x:c r="E351" s="30" t="str">
        <x:v>香菇鲜</x:v>
      </x:c>
      <x:c r="F351" s="30" t="n">
        <x:v>60</x:v>
      </x:c>
      <x:c r="G351" s="30" t="str">
        <x:v>g</x:v>
      </x:c>
      <x:c r="H351" s="30" t="str">
        <x:v>raw_edible_weight</x:v>
      </x:c>
      <x:c r="I351" s="30" t="n">
        <x:v>10</x:v>
      </x:c>
      <x:c r="J351" s="30" t="n">
        <x:v>30</x:v>
      </x:c>
      <x:c r="K351" s="30" t="str">
        <x:v>香菇鲜30g</x:v>
      </x:c>
      <x:c r="L351" s="76" t="b">
        <x:v>1</x:v>
      </x:c>
      <x:c r="M351" s="30" t="str">
        <x:v>已按MDT确认的Ingredient Master min/max/step执行化；执行量变化后必须重算营养。</x:v>
      </x:c>
      <x:c r="N351" s="30" t="n">
        <x:v>30</x:v>
      </x:c>
    </x:row>
    <x:row r="352">
      <x:c r="A352" s="30" t="str">
        <x:v>V009</x:v>
      </x:c>
      <x:c r="B352" s="30" t="str">
        <x:v>冬瓜香菇</x:v>
      </x:c>
      <x:c r="C352" s="30" t="str">
        <x:v>LINEAR_VEGETABLE_LARGE_BASE</x:v>
      </x:c>
      <x:c r="D352" s="30" t="n">
        <x:v>0.5</x:v>
      </x:c>
      <x:c r="E352" s="30" t="str">
        <x:v>植物油</x:v>
      </x:c>
      <x:c r="F352" s="30" t="n">
        <x:v>4</x:v>
      </x:c>
      <x:c r="G352" s="30" t="str">
        <x:v>g</x:v>
      </x:c>
      <x:c r="H352" s="30" t="str">
        <x:v>added_weight</x:v>
      </x:c>
      <x:c r="I352" s="30" t="n">
        <x:v>1</x:v>
      </x:c>
      <x:c r="J352" s="30" t="n">
        <x:v>2</x:v>
      </x:c>
      <x:c r="K352" s="30" t="str">
        <x:v>植物油2g</x:v>
      </x:c>
      <x:c r="L352" s="76" t="b">
        <x:v>1</x:v>
      </x:c>
      <x:c r="M352" s="30" t="str">
        <x:v>已按MDT确认的Ingredient Master min/max/step执行化；执行量变化后必须重算营养。</x:v>
      </x:c>
      <x:c r="N352" s="30" t="n">
        <x:v>2</x:v>
      </x:c>
    </x:row>
    <x:row r="353">
      <x:c r="A353" s="30" t="str">
        <x:v>V009</x:v>
      </x:c>
      <x:c r="B353" s="30" t="str">
        <x:v>冬瓜香菇</x:v>
      </x:c>
      <x:c r="C353" s="30" t="str">
        <x:v>LINEAR_VEGETABLE_LARGE_BASE</x:v>
      </x:c>
      <x:c r="D353" s="30" t="n">
        <x:v>0.75</x:v>
      </x:c>
      <x:c r="E353" s="30" t="str">
        <x:v>冬瓜</x:v>
      </x:c>
      <x:c r="F353" s="30" t="n">
        <x:v>250</x:v>
      </x:c>
      <x:c r="G353" s="30" t="str">
        <x:v>g</x:v>
      </x:c>
      <x:c r="H353" s="30" t="str">
        <x:v>raw_edible_weight</x:v>
      </x:c>
      <x:c r="I353" s="30" t="n">
        <x:v>10</x:v>
      </x:c>
      <x:c r="J353" s="30" t="n">
        <x:v>187.5</x:v>
      </x:c>
      <x:c r="K353" s="30" t="str">
        <x:v>冬瓜190g</x:v>
      </x:c>
      <x:c r="L353" s="76" t="b">
        <x:v>1</x:v>
      </x:c>
      <x:c r="M353" s="30" t="str">
        <x:v>已按MDT确认的Ingredient Master min/max/step执行化；执行量变化后必须重算营养。</x:v>
      </x:c>
      <x:c r="N353" s="30" t="n">
        <x:v>190</x:v>
      </x:c>
    </x:row>
    <x:row r="354">
      <x:c r="A354" s="30" t="str">
        <x:v>V009</x:v>
      </x:c>
      <x:c r="B354" s="30" t="str">
        <x:v>冬瓜香菇</x:v>
      </x:c>
      <x:c r="C354" s="30" t="str">
        <x:v>LINEAR_VEGETABLE_LARGE_BASE</x:v>
      </x:c>
      <x:c r="D354" s="30" t="n">
        <x:v>0.75</x:v>
      </x:c>
      <x:c r="E354" s="30" t="str">
        <x:v>香菇鲜</x:v>
      </x:c>
      <x:c r="F354" s="30" t="n">
        <x:v>60</x:v>
      </x:c>
      <x:c r="G354" s="30" t="str">
        <x:v>g</x:v>
      </x:c>
      <x:c r="H354" s="30" t="str">
        <x:v>raw_edible_weight</x:v>
      </x:c>
      <x:c r="I354" s="30" t="n">
        <x:v>10</x:v>
      </x:c>
      <x:c r="J354" s="30" t="n">
        <x:v>45</x:v>
      </x:c>
      <x:c r="K354" s="30" t="str">
        <x:v>香菇鲜50g</x:v>
      </x:c>
      <x:c r="L354" s="76" t="b">
        <x:v>1</x:v>
      </x:c>
      <x:c r="M354" s="30" t="str">
        <x:v>已按MDT确认的Ingredient Master min/max/step执行化；执行量变化后必须重算营养。</x:v>
      </x:c>
      <x:c r="N354" s="30" t="n">
        <x:v>50</x:v>
      </x:c>
    </x:row>
    <x:row r="355">
      <x:c r="A355" s="30" t="str">
        <x:v>V009</x:v>
      </x:c>
      <x:c r="B355" s="30" t="str">
        <x:v>冬瓜香菇</x:v>
      </x:c>
      <x:c r="C355" s="30" t="str">
        <x:v>LINEAR_VEGETABLE_LARGE_BASE</x:v>
      </x:c>
      <x:c r="D355" s="30" t="n">
        <x:v>0.75</x:v>
      </x:c>
      <x:c r="E355" s="30" t="str">
        <x:v>植物油</x:v>
      </x:c>
      <x:c r="F355" s="30" t="n">
        <x:v>4</x:v>
      </x:c>
      <x:c r="G355" s="30" t="str">
        <x:v>g</x:v>
      </x:c>
      <x:c r="H355" s="30" t="str">
        <x:v>added_weight</x:v>
      </x:c>
      <x:c r="I355" s="30" t="n">
        <x:v>1</x:v>
      </x:c>
      <x:c r="J355" s="30" t="n">
        <x:v>3</x:v>
      </x:c>
      <x:c r="K355" s="30" t="str">
        <x:v>植物油3g</x:v>
      </x:c>
      <x:c r="L355" s="76" t="b">
        <x:v>1</x:v>
      </x:c>
      <x:c r="M355" s="30" t="str">
        <x:v>已按MDT确认的Ingredient Master min/max/step执行化；执行量变化后必须重算营养。</x:v>
      </x:c>
      <x:c r="N355" s="30" t="n">
        <x:v>3</x:v>
      </x:c>
    </x:row>
    <x:row r="356">
      <x:c r="A356" s="30" t="str">
        <x:v>V009</x:v>
      </x:c>
      <x:c r="B356" s="30" t="str">
        <x:v>冬瓜香菇</x:v>
      </x:c>
      <x:c r="C356" s="30" t="str">
        <x:v>LINEAR_VEGETABLE_LARGE_BASE</x:v>
      </x:c>
      <x:c r="D356" s="30" t="n">
        <x:v>1</x:v>
      </x:c>
      <x:c r="E356" s="30" t="str">
        <x:v>冬瓜</x:v>
      </x:c>
      <x:c r="F356" s="30" t="n">
        <x:v>250</x:v>
      </x:c>
      <x:c r="G356" s="30" t="str">
        <x:v>g</x:v>
      </x:c>
      <x:c r="H356" s="30" t="str">
        <x:v>raw_edible_weight</x:v>
      </x:c>
      <x:c r="I356" s="30" t="n">
        <x:v>10</x:v>
      </x:c>
      <x:c r="J356" s="30" t="n">
        <x:v>250</x:v>
      </x:c>
      <x:c r="K356" s="30" t="str">
        <x:v>冬瓜250g</x:v>
      </x:c>
      <x:c r="L356" s="76" t="b">
        <x:v>1</x:v>
      </x:c>
      <x:c r="M356" s="30" t="str">
        <x:v>已按MDT确认的Ingredient Master min/max/step执行化；执行量变化后必须重算营养。</x:v>
      </x:c>
      <x:c r="N356" s="30" t="n">
        <x:v>250</x:v>
      </x:c>
    </x:row>
    <x:row r="357">
      <x:c r="A357" s="30" t="str">
        <x:v>V009</x:v>
      </x:c>
      <x:c r="B357" s="30" t="str">
        <x:v>冬瓜香菇</x:v>
      </x:c>
      <x:c r="C357" s="30" t="str">
        <x:v>LINEAR_VEGETABLE_LARGE_BASE</x:v>
      </x:c>
      <x:c r="D357" s="30" t="n">
        <x:v>1</x:v>
      </x:c>
      <x:c r="E357" s="30" t="str">
        <x:v>香菇鲜</x:v>
      </x:c>
      <x:c r="F357" s="30" t="n">
        <x:v>60</x:v>
      </x:c>
      <x:c r="G357" s="30" t="str">
        <x:v>g</x:v>
      </x:c>
      <x:c r="H357" s="30" t="str">
        <x:v>raw_edible_weight</x:v>
      </x:c>
      <x:c r="I357" s="30" t="n">
        <x:v>10</x:v>
      </x:c>
      <x:c r="J357" s="30" t="n">
        <x:v>60</x:v>
      </x:c>
      <x:c r="K357" s="30" t="str">
        <x:v>香菇鲜60g</x:v>
      </x:c>
      <x:c r="L357" s="76" t="b">
        <x:v>1</x:v>
      </x:c>
      <x:c r="M357" s="30" t="str">
        <x:v>已按MDT确认的Ingredient Master min/max/step执行化；执行量变化后必须重算营养。</x:v>
      </x:c>
      <x:c r="N357" s="30" t="n">
        <x:v>60</x:v>
      </x:c>
    </x:row>
    <x:row r="358">
      <x:c r="A358" s="30" t="str">
        <x:v>V009</x:v>
      </x:c>
      <x:c r="B358" s="30" t="str">
        <x:v>冬瓜香菇</x:v>
      </x:c>
      <x:c r="C358" s="30" t="str">
        <x:v>LINEAR_VEGETABLE_LARGE_BASE</x:v>
      </x:c>
      <x:c r="D358" s="30" t="n">
        <x:v>1</x:v>
      </x:c>
      <x:c r="E358" s="30" t="str">
        <x:v>植物油</x:v>
      </x:c>
      <x:c r="F358" s="30" t="n">
        <x:v>4</x:v>
      </x:c>
      <x:c r="G358" s="30" t="str">
        <x:v>g</x:v>
      </x:c>
      <x:c r="H358" s="30" t="str">
        <x:v>added_weight</x:v>
      </x:c>
      <x:c r="I358" s="30" t="n">
        <x:v>1</x:v>
      </x:c>
      <x:c r="J358" s="30" t="n">
        <x:v>4</x:v>
      </x:c>
      <x:c r="K358" s="30" t="str">
        <x:v>植物油4g</x:v>
      </x:c>
      <x:c r="L358" s="76" t="b">
        <x:v>1</x:v>
      </x:c>
      <x:c r="M358" s="30" t="str">
        <x:v>已按MDT确认的Ingredient Master min/max/step执行化；执行量变化后必须重算营养。</x:v>
      </x:c>
      <x:c r="N358" s="30" t="n">
        <x:v>4</x:v>
      </x:c>
    </x:row>
    <x:row r="359">
      <x:c r="A359" s="30" t="str">
        <x:v>V009</x:v>
      </x:c>
      <x:c r="B359" s="30" t="str">
        <x:v>冬瓜香菇</x:v>
      </x:c>
      <x:c r="C359" s="30" t="str">
        <x:v>LINEAR_VEGETABLE_LARGE_BASE</x:v>
      </x:c>
      <x:c r="D359" s="30" t="n">
        <x:v>1.25</x:v>
      </x:c>
      <x:c r="E359" s="30"/>
      <x:c r="F359" s="30"/>
      <x:c r="G359" s="30"/>
      <x:c r="H359" s="30"/>
      <x:c r="I359" s="30"/>
      <x:c r="J359" s="30"/>
      <x:c r="K359" s="30" t="str">
        <x:v>该档位不允许整组件直接缩放</x:v>
      </x:c>
      <x:c r="L359" s="76" t="b">
        <x:v>0</x:v>
      </x:c>
      <x:c r="M359" s="30" t="str">
        <x:v>超出本组件候选执行边界。</x:v>
      </x:c>
      <x:c r="N359" s="30" t="str">
        <x:f>IF(OR(J359="",I359=""),"",ROUND(J359/I359,0)*I359)</x:f>
      </x:c>
    </x:row>
    <x:row r="360">
      <x:c r="A360" s="30" t="str">
        <x:v>V009</x:v>
      </x:c>
      <x:c r="B360" s="30" t="str">
        <x:v>冬瓜香菇</x:v>
      </x:c>
      <x:c r="C360" s="30" t="str">
        <x:v>LINEAR_VEGETABLE_LARGE_BASE</x:v>
      </x:c>
      <x:c r="D360" s="30" t="n">
        <x:v>1.5</x:v>
      </x:c>
      <x:c r="E360" s="30"/>
      <x:c r="F360" s="30"/>
      <x:c r="G360" s="30"/>
      <x:c r="H360" s="30"/>
      <x:c r="I360" s="30"/>
      <x:c r="J360" s="30"/>
      <x:c r="K360" s="30" t="str">
        <x:v>该档位不允许整组件直接缩放</x:v>
      </x:c>
      <x:c r="L360" s="76" t="b">
        <x:v>0</x:v>
      </x:c>
      <x:c r="M360" s="30" t="str">
        <x:v>超出本组件候选执行边界。</x:v>
      </x:c>
      <x:c r="N360" s="30" t="str">
        <x:f>IF(OR(J360="",I360=""),"",ROUND(J360/I360,0)*I360)</x:f>
      </x:c>
    </x:row>
    <x:row r="361">
      <x:c r="A361" s="30" t="str">
        <x:v>V010</x:v>
      </x:c>
      <x:c r="B361" s="30" t="str">
        <x:v>少油烧茄子</x:v>
      </x:c>
      <x:c r="C361" s="30" t="str">
        <x:v>LINEAR_VEGETABLE_LIMITED</x:v>
      </x:c>
      <x:c r="D361" s="30" t="n">
        <x:v>0.5</x:v>
      </x:c>
      <x:c r="E361" s="30" t="str">
        <x:v>茄子</x:v>
      </x:c>
      <x:c r="F361" s="30" t="n">
        <x:v>200</x:v>
      </x:c>
      <x:c r="G361" s="30" t="str">
        <x:v>g</x:v>
      </x:c>
      <x:c r="H361" s="30" t="str">
        <x:v>raw_edible_weight</x:v>
      </x:c>
      <x:c r="I361" s="30" t="n">
        <x:v>10</x:v>
      </x:c>
      <x:c r="J361" s="30" t="n">
        <x:v>100</x:v>
      </x:c>
      <x:c r="K361" s="30" t="str">
        <x:v>茄子100g</x:v>
      </x:c>
      <x:c r="L361" s="76" t="b">
        <x:v>1</x:v>
      </x:c>
      <x:c r="M361" s="30" t="str">
        <x:v>已按MDT确认的Ingredient Master min/max/step执行化；执行量变化后必须重算营养。</x:v>
      </x:c>
      <x:c r="N361" s="30" t="n">
        <x:v>100</x:v>
      </x:c>
    </x:row>
    <x:row r="362">
      <x:c r="A362" s="30" t="str">
        <x:v>V010</x:v>
      </x:c>
      <x:c r="B362" s="30" t="str">
        <x:v>少油烧茄子</x:v>
      </x:c>
      <x:c r="C362" s="30" t="str">
        <x:v>LINEAR_VEGETABLE_LIMITED</x:v>
      </x:c>
      <x:c r="D362" s="30" t="n">
        <x:v>0.5</x:v>
      </x:c>
      <x:c r="E362" s="30" t="str">
        <x:v>植物油</x:v>
      </x:c>
      <x:c r="F362" s="30" t="n">
        <x:v>6</x:v>
      </x:c>
      <x:c r="G362" s="30" t="str">
        <x:v>g</x:v>
      </x:c>
      <x:c r="H362" s="30" t="str">
        <x:v>added_weight</x:v>
      </x:c>
      <x:c r="I362" s="30" t="n">
        <x:v>1</x:v>
      </x:c>
      <x:c r="J362" s="30" t="n">
        <x:v>3</x:v>
      </x:c>
      <x:c r="K362" s="30" t="str">
        <x:v>植物油3g</x:v>
      </x:c>
      <x:c r="L362" s="76" t="b">
        <x:v>1</x:v>
      </x:c>
      <x:c r="M362" s="30" t="str">
        <x:v>已按MDT确认的Ingredient Master min/max/step执行化；执行量变化后必须重算营养。</x:v>
      </x:c>
      <x:c r="N362" s="30" t="n">
        <x:v>3</x:v>
      </x:c>
    </x:row>
    <x:row r="363">
      <x:c r="A363" s="30" t="str">
        <x:v>V010</x:v>
      </x:c>
      <x:c r="B363" s="30" t="str">
        <x:v>少油烧茄子</x:v>
      </x:c>
      <x:c r="C363" s="30" t="str">
        <x:v>LINEAR_VEGETABLE_LIMITED</x:v>
      </x:c>
      <x:c r="D363" s="30" t="n">
        <x:v>0.75</x:v>
      </x:c>
      <x:c r="E363" s="30" t="str">
        <x:v>茄子</x:v>
      </x:c>
      <x:c r="F363" s="30" t="n">
        <x:v>200</x:v>
      </x:c>
      <x:c r="G363" s="30" t="str">
        <x:v>g</x:v>
      </x:c>
      <x:c r="H363" s="30" t="str">
        <x:v>raw_edible_weight</x:v>
      </x:c>
      <x:c r="I363" s="30" t="n">
        <x:v>10</x:v>
      </x:c>
      <x:c r="J363" s="30" t="n">
        <x:v>150</x:v>
      </x:c>
      <x:c r="K363" s="30" t="str">
        <x:v>茄子150g</x:v>
      </x:c>
      <x:c r="L363" s="76" t="b">
        <x:v>1</x:v>
      </x:c>
      <x:c r="M363" s="30" t="str">
        <x:v>已按MDT确认的Ingredient Master min/max/step执行化；执行量变化后必须重算营养。</x:v>
      </x:c>
      <x:c r="N363" s="30" t="n">
        <x:v>150</x:v>
      </x:c>
    </x:row>
    <x:row r="364">
      <x:c r="A364" s="30" t="str">
        <x:v>V010</x:v>
      </x:c>
      <x:c r="B364" s="30" t="str">
        <x:v>少油烧茄子</x:v>
      </x:c>
      <x:c r="C364" s="30" t="str">
        <x:v>LINEAR_VEGETABLE_LIMITED</x:v>
      </x:c>
      <x:c r="D364" s="30" t="n">
        <x:v>0.75</x:v>
      </x:c>
      <x:c r="E364" s="30" t="str">
        <x:v>植物油</x:v>
      </x:c>
      <x:c r="F364" s="30" t="n">
        <x:v>6</x:v>
      </x:c>
      <x:c r="G364" s="30" t="str">
        <x:v>g</x:v>
      </x:c>
      <x:c r="H364" s="30" t="str">
        <x:v>added_weight</x:v>
      </x:c>
      <x:c r="I364" s="30" t="n">
        <x:v>1</x:v>
      </x:c>
      <x:c r="J364" s="30" t="n">
        <x:v>4.5</x:v>
      </x:c>
      <x:c r="K364" s="30" t="str">
        <x:v>植物油5g</x:v>
      </x:c>
      <x:c r="L364" s="76" t="b">
        <x:v>1</x:v>
      </x:c>
      <x:c r="M364" s="30" t="str">
        <x:v>已按MDT确认的Ingredient Master min/max/step执行化；执行量变化后必须重算营养。</x:v>
      </x:c>
      <x:c r="N364" s="30" t="n">
        <x:v>5</x:v>
      </x:c>
    </x:row>
    <x:row r="365">
      <x:c r="A365" s="30" t="str">
        <x:v>V010</x:v>
      </x:c>
      <x:c r="B365" s="30" t="str">
        <x:v>少油烧茄子</x:v>
      </x:c>
      <x:c r="C365" s="30" t="str">
        <x:v>LINEAR_VEGETABLE_LIMITED</x:v>
      </x:c>
      <x:c r="D365" s="30" t="n">
        <x:v>1</x:v>
      </x:c>
      <x:c r="E365" s="30" t="str">
        <x:v>茄子</x:v>
      </x:c>
      <x:c r="F365" s="30" t="n">
        <x:v>200</x:v>
      </x:c>
      <x:c r="G365" s="30" t="str">
        <x:v>g</x:v>
      </x:c>
      <x:c r="H365" s="30" t="str">
        <x:v>raw_edible_weight</x:v>
      </x:c>
      <x:c r="I365" s="30" t="n">
        <x:v>10</x:v>
      </x:c>
      <x:c r="J365" s="30" t="n">
        <x:v>200</x:v>
      </x:c>
      <x:c r="K365" s="30" t="str">
        <x:v>茄子200g</x:v>
      </x:c>
      <x:c r="L365" s="76" t="b">
        <x:v>1</x:v>
      </x:c>
      <x:c r="M365" s="30" t="str">
        <x:v>已按MDT确认的Ingredient Master min/max/step执行化；执行量变化后必须重算营养。</x:v>
      </x:c>
      <x:c r="N365" s="30" t="n">
        <x:v>200</x:v>
      </x:c>
    </x:row>
    <x:row r="366">
      <x:c r="A366" s="30" t="str">
        <x:v>V010</x:v>
      </x:c>
      <x:c r="B366" s="30" t="str">
        <x:v>少油烧茄子</x:v>
      </x:c>
      <x:c r="C366" s="30" t="str">
        <x:v>LINEAR_VEGETABLE_LIMITED</x:v>
      </x:c>
      <x:c r="D366" s="30" t="n">
        <x:v>1</x:v>
      </x:c>
      <x:c r="E366" s="30" t="str">
        <x:v>植物油</x:v>
      </x:c>
      <x:c r="F366" s="30" t="n">
        <x:v>6</x:v>
      </x:c>
      <x:c r="G366" s="30" t="str">
        <x:v>g</x:v>
      </x:c>
      <x:c r="H366" s="30" t="str">
        <x:v>added_weight</x:v>
      </x:c>
      <x:c r="I366" s="30" t="n">
        <x:v>1</x:v>
      </x:c>
      <x:c r="J366" s="30" t="n">
        <x:v>6</x:v>
      </x:c>
      <x:c r="K366" s="30" t="str">
        <x:v>植物油6g</x:v>
      </x:c>
      <x:c r="L366" s="76" t="b">
        <x:v>1</x:v>
      </x:c>
      <x:c r="M366" s="30" t="str">
        <x:v>已按MDT确认的Ingredient Master min/max/step执行化；执行量变化后必须重算营养。</x:v>
      </x:c>
      <x:c r="N366" s="30" t="n">
        <x:v>6</x:v>
      </x:c>
    </x:row>
    <x:row r="367">
      <x:c r="A367" s="30" t="str">
        <x:v>V010</x:v>
      </x:c>
      <x:c r="B367" s="30" t="str">
        <x:v>少油烧茄子</x:v>
      </x:c>
      <x:c r="C367" s="30" t="str">
        <x:v>LINEAR_VEGETABLE_LIMITED</x:v>
      </x:c>
      <x:c r="D367" s="30" t="n">
        <x:v>1.25</x:v>
      </x:c>
      <x:c r="E367" s="30" t="str">
        <x:v>茄子</x:v>
      </x:c>
      <x:c r="F367" s="30" t="n">
        <x:v>200</x:v>
      </x:c>
      <x:c r="G367" s="30" t="str">
        <x:v>g</x:v>
      </x:c>
      <x:c r="H367" s="30" t="str">
        <x:v>raw_edible_weight</x:v>
      </x:c>
      <x:c r="I367" s="30" t="n">
        <x:v>10</x:v>
      </x:c>
      <x:c r="J367" s="30" t="n">
        <x:v>250</x:v>
      </x:c>
      <x:c r="K367" s="30" t="str">
        <x:v>茄子250g</x:v>
      </x:c>
      <x:c r="L367" s="76" t="b">
        <x:v>1</x:v>
      </x:c>
      <x:c r="M367" s="30" t="str">
        <x:v>已按MDT确认的Ingredient Master min/max/step执行化；执行量变化后必须重算营养。</x:v>
      </x:c>
      <x:c r="N367" s="30" t="n">
        <x:v>250</x:v>
      </x:c>
    </x:row>
    <x:row r="368">
      <x:c r="A368" s="30" t="str">
        <x:v>V010</x:v>
      </x:c>
      <x:c r="B368" s="30" t="str">
        <x:v>少油烧茄子</x:v>
      </x:c>
      <x:c r="C368" s="30" t="str">
        <x:v>LINEAR_VEGETABLE_LIMITED</x:v>
      </x:c>
      <x:c r="D368" s="30" t="n">
        <x:v>1.25</x:v>
      </x:c>
      <x:c r="E368" s="30" t="str">
        <x:v>植物油</x:v>
      </x:c>
      <x:c r="F368" s="30" t="n">
        <x:v>6</x:v>
      </x:c>
      <x:c r="G368" s="30" t="str">
        <x:v>g</x:v>
      </x:c>
      <x:c r="H368" s="30" t="str">
        <x:v>added_weight</x:v>
      </x:c>
      <x:c r="I368" s="30" t="n">
        <x:v>1</x:v>
      </x:c>
      <x:c r="J368" s="30" t="n">
        <x:v>7.5</x:v>
      </x:c>
      <x:c r="K368" s="30" t="str">
        <x:v>植物油8g</x:v>
      </x:c>
      <x:c r="L368" s="76" t="b">
        <x:v>1</x:v>
      </x:c>
      <x:c r="M368" s="30" t="str">
        <x:v>已按MDT确认的Ingredient Master min/max/step执行化；执行量变化后必须重算营养。</x:v>
      </x:c>
      <x:c r="N368" s="30" t="n">
        <x:v>8</x:v>
      </x:c>
    </x:row>
    <x:row r="369">
      <x:c r="A369" s="30" t="str">
        <x:v>V010</x:v>
      </x:c>
      <x:c r="B369" s="30" t="str">
        <x:v>少油烧茄子</x:v>
      </x:c>
      <x:c r="C369" s="30" t="str">
        <x:v>LINEAR_VEGETABLE_LIMITED</x:v>
      </x:c>
      <x:c r="D369" s="30" t="n">
        <x:v>1.5</x:v>
      </x:c>
      <x:c r="E369" s="30"/>
      <x:c r="F369" s="30"/>
      <x:c r="G369" s="30"/>
      <x:c r="H369" s="30"/>
      <x:c r="I369" s="30"/>
      <x:c r="J369" s="30"/>
      <x:c r="K369" s="30" t="str">
        <x:v>该档位不允许整组件直接缩放</x:v>
      </x:c>
      <x:c r="L369" s="76" t="b">
        <x:v>0</x:v>
      </x:c>
      <x:c r="M369" s="30" t="str">
        <x:v>超出本组件候选执行边界。</x:v>
      </x:c>
      <x:c r="N369" s="30" t="str">
        <x:f>IF(OR(J369="",I369=""),"",ROUND(J369/I369,0)*I369)</x:f>
      </x:c>
    </x:row>
    <x:row r="370">
      <x:c r="A370" s="30" t="str">
        <x:v>V011</x:v>
      </x:c>
      <x:c r="B370" s="30" t="str">
        <x:v>生菜番茄沙拉（中式清拌）</x:v>
      </x:c>
      <x:c r="C370" s="30" t="str">
        <x:v>LINEAR_VEGETABLE_LARGE_BASE</x:v>
      </x:c>
      <x:c r="D370" s="30" t="n">
        <x:v>0.5</x:v>
      </x:c>
      <x:c r="E370" s="30" t="str">
        <x:v>生菜</x:v>
      </x:c>
      <x:c r="F370" s="30" t="n">
        <x:v>150</x:v>
      </x:c>
      <x:c r="G370" s="30" t="str">
        <x:v>g</x:v>
      </x:c>
      <x:c r="H370" s="30" t="str">
        <x:v>raw_edible_weight</x:v>
      </x:c>
      <x:c r="I370" s="30" t="n">
        <x:v>10</x:v>
      </x:c>
      <x:c r="J370" s="30" t="n">
        <x:v>75</x:v>
      </x:c>
      <x:c r="K370" s="30" t="str">
        <x:v>生菜80g</x:v>
      </x:c>
      <x:c r="L370" s="76" t="b">
        <x:v>1</x:v>
      </x:c>
      <x:c r="M370" s="30" t="str">
        <x:v>已按MDT确认的Ingredient Master min/max/step执行化；执行量变化后必须重算营养。</x:v>
      </x:c>
      <x:c r="N370" s="30" t="n">
        <x:v>80</x:v>
      </x:c>
    </x:row>
    <x:row r="371">
      <x:c r="A371" s="30" t="str">
        <x:v>V011</x:v>
      </x:c>
      <x:c r="B371" s="30" t="str">
        <x:v>生菜番茄沙拉（中式清拌）</x:v>
      </x:c>
      <x:c r="C371" s="30" t="str">
        <x:v>LINEAR_VEGETABLE_LARGE_BASE</x:v>
      </x:c>
      <x:c r="D371" s="30" t="n">
        <x:v>0.5</x:v>
      </x:c>
      <x:c r="E371" s="30" t="str">
        <x:v>番茄</x:v>
      </x:c>
      <x:c r="F371" s="30" t="n">
        <x:v>150</x:v>
      </x:c>
      <x:c r="G371" s="30" t="str">
        <x:v>g</x:v>
      </x:c>
      <x:c r="H371" s="30" t="str">
        <x:v>raw_edible_weight</x:v>
      </x:c>
      <x:c r="I371" s="30" t="n">
        <x:v>10</x:v>
      </x:c>
      <x:c r="J371" s="30" t="n">
        <x:v>75</x:v>
      </x:c>
      <x:c r="K371" s="30" t="str">
        <x:v>番茄80g</x:v>
      </x:c>
      <x:c r="L371" s="76" t="b">
        <x:v>1</x:v>
      </x:c>
      <x:c r="M371" s="30" t="str">
        <x:v>已按MDT确认的Ingredient Master min/max/step执行化；执行量变化后必须重算营养。</x:v>
      </x:c>
      <x:c r="N371" s="30" t="n">
        <x:v>80</x:v>
      </x:c>
    </x:row>
    <x:row r="372">
      <x:c r="A372" s="30" t="str">
        <x:v>V011</x:v>
      </x:c>
      <x:c r="B372" s="30" t="str">
        <x:v>生菜番茄沙拉（中式清拌）</x:v>
      </x:c>
      <x:c r="C372" s="30" t="str">
        <x:v>LINEAR_VEGETABLE_LARGE_BASE</x:v>
      </x:c>
      <x:c r="D372" s="30" t="n">
        <x:v>0.5</x:v>
      </x:c>
      <x:c r="E372" s="30" t="str">
        <x:v>植物油</x:v>
      </x:c>
      <x:c r="F372" s="30" t="n">
        <x:v>3</x:v>
      </x:c>
      <x:c r="G372" s="30" t="str">
        <x:v>g</x:v>
      </x:c>
      <x:c r="H372" s="30" t="str">
        <x:v>added_weight</x:v>
      </x:c>
      <x:c r="I372" s="30" t="n">
        <x:v>1</x:v>
      </x:c>
      <x:c r="J372" s="30" t="n">
        <x:v>1.5</x:v>
      </x:c>
      <x:c r="K372" s="30" t="str">
        <x:v>植物油2g</x:v>
      </x:c>
      <x:c r="L372" s="76" t="b">
        <x:v>1</x:v>
      </x:c>
      <x:c r="M372" s="30" t="str">
        <x:v>已按MDT确认的Ingredient Master min/max/step执行化；执行量变化后必须重算营养。</x:v>
      </x:c>
      <x:c r="N372" s="30" t="n">
        <x:v>2</x:v>
      </x:c>
    </x:row>
    <x:row r="373">
      <x:c r="A373" s="30" t="str">
        <x:v>V011</x:v>
      </x:c>
      <x:c r="B373" s="30" t="str">
        <x:v>生菜番茄沙拉（中式清拌）</x:v>
      </x:c>
      <x:c r="C373" s="30" t="str">
        <x:v>LINEAR_VEGETABLE_LARGE_BASE</x:v>
      </x:c>
      <x:c r="D373" s="30" t="n">
        <x:v>0.75</x:v>
      </x:c>
      <x:c r="E373" s="30" t="str">
        <x:v>生菜</x:v>
      </x:c>
      <x:c r="F373" s="30" t="n">
        <x:v>150</x:v>
      </x:c>
      <x:c r="G373" s="30" t="str">
        <x:v>g</x:v>
      </x:c>
      <x:c r="H373" s="30" t="str">
        <x:v>raw_edible_weight</x:v>
      </x:c>
      <x:c r="I373" s="30" t="n">
        <x:v>10</x:v>
      </x:c>
      <x:c r="J373" s="30" t="n">
        <x:v>112.5</x:v>
      </x:c>
      <x:c r="K373" s="30" t="str">
        <x:v>生菜110g</x:v>
      </x:c>
      <x:c r="L373" s="76" t="b">
        <x:v>1</x:v>
      </x:c>
      <x:c r="M373" s="30" t="str">
        <x:v>已按MDT确认的Ingredient Master min/max/step执行化；执行量变化后必须重算营养。</x:v>
      </x:c>
      <x:c r="N373" s="30" t="n">
        <x:v>110</x:v>
      </x:c>
    </x:row>
    <x:row r="374">
      <x:c r="A374" s="30" t="str">
        <x:v>V011</x:v>
      </x:c>
      <x:c r="B374" s="30" t="str">
        <x:v>生菜番茄沙拉（中式清拌）</x:v>
      </x:c>
      <x:c r="C374" s="30" t="str">
        <x:v>LINEAR_VEGETABLE_LARGE_BASE</x:v>
      </x:c>
      <x:c r="D374" s="30" t="n">
        <x:v>0.75</x:v>
      </x:c>
      <x:c r="E374" s="30" t="str">
        <x:v>番茄</x:v>
      </x:c>
      <x:c r="F374" s="30" t="n">
        <x:v>150</x:v>
      </x:c>
      <x:c r="G374" s="30" t="str">
        <x:v>g</x:v>
      </x:c>
      <x:c r="H374" s="30" t="str">
        <x:v>raw_edible_weight</x:v>
      </x:c>
      <x:c r="I374" s="30" t="n">
        <x:v>10</x:v>
      </x:c>
      <x:c r="J374" s="30" t="n">
        <x:v>112.5</x:v>
      </x:c>
      <x:c r="K374" s="30" t="str">
        <x:v>番茄110g</x:v>
      </x:c>
      <x:c r="L374" s="76" t="b">
        <x:v>1</x:v>
      </x:c>
      <x:c r="M374" s="30" t="str">
        <x:v>已按MDT确认的Ingredient Master min/max/step执行化；执行量变化后必须重算营养。</x:v>
      </x:c>
      <x:c r="N374" s="30" t="n">
        <x:v>110</x:v>
      </x:c>
    </x:row>
    <x:row r="375">
      <x:c r="A375" s="30" t="str">
        <x:v>V011</x:v>
      </x:c>
      <x:c r="B375" s="30" t="str">
        <x:v>生菜番茄沙拉（中式清拌）</x:v>
      </x:c>
      <x:c r="C375" s="30" t="str">
        <x:v>LINEAR_VEGETABLE_LARGE_BASE</x:v>
      </x:c>
      <x:c r="D375" s="30" t="n">
        <x:v>0.75</x:v>
      </x:c>
      <x:c r="E375" s="30" t="str">
        <x:v>植物油</x:v>
      </x:c>
      <x:c r="F375" s="30" t="n">
        <x:v>3</x:v>
      </x:c>
      <x:c r="G375" s="30" t="str">
        <x:v>g</x:v>
      </x:c>
      <x:c r="H375" s="30" t="str">
        <x:v>added_weight</x:v>
      </x:c>
      <x:c r="I375" s="30" t="n">
        <x:v>1</x:v>
      </x:c>
      <x:c r="J375" s="30" t="n">
        <x:v>2.25</x:v>
      </x:c>
      <x:c r="K375" s="30" t="str">
        <x:v>植物油2g</x:v>
      </x:c>
      <x:c r="L375" s="76" t="b">
        <x:v>1</x:v>
      </x:c>
      <x:c r="M375" s="30" t="str">
        <x:v>已按MDT确认的Ingredient Master min/max/step执行化；执行量变化后必须重算营养。</x:v>
      </x:c>
      <x:c r="N375" s="30" t="n">
        <x:v>2</x:v>
      </x:c>
    </x:row>
    <x:row r="376">
      <x:c r="A376" s="30" t="str">
        <x:v>V011</x:v>
      </x:c>
      <x:c r="B376" s="30" t="str">
        <x:v>生菜番茄沙拉（中式清拌）</x:v>
      </x:c>
      <x:c r="C376" s="30" t="str">
        <x:v>LINEAR_VEGETABLE_LARGE_BASE</x:v>
      </x:c>
      <x:c r="D376" s="30" t="n">
        <x:v>1</x:v>
      </x:c>
      <x:c r="E376" s="30" t="str">
        <x:v>生菜</x:v>
      </x:c>
      <x:c r="F376" s="30" t="n">
        <x:v>150</x:v>
      </x:c>
      <x:c r="G376" s="30" t="str">
        <x:v>g</x:v>
      </x:c>
      <x:c r="H376" s="30" t="str">
        <x:v>raw_edible_weight</x:v>
      </x:c>
      <x:c r="I376" s="30" t="n">
        <x:v>10</x:v>
      </x:c>
      <x:c r="J376" s="30" t="n">
        <x:v>150</x:v>
      </x:c>
      <x:c r="K376" s="30" t="str">
        <x:v>生菜150g</x:v>
      </x:c>
      <x:c r="L376" s="76" t="b">
        <x:v>1</x:v>
      </x:c>
      <x:c r="M376" s="30" t="str">
        <x:v>已按MDT确认的Ingredient Master min/max/step执行化；执行量变化后必须重算营养。</x:v>
      </x:c>
      <x:c r="N376" s="30" t="n">
        <x:v>150</x:v>
      </x:c>
    </x:row>
    <x:row r="377">
      <x:c r="A377" s="30" t="str">
        <x:v>V011</x:v>
      </x:c>
      <x:c r="B377" s="30" t="str">
        <x:v>生菜番茄沙拉（中式清拌）</x:v>
      </x:c>
      <x:c r="C377" s="30" t="str">
        <x:v>LINEAR_VEGETABLE_LARGE_BASE</x:v>
      </x:c>
      <x:c r="D377" s="30" t="n">
        <x:v>1</x:v>
      </x:c>
      <x:c r="E377" s="30" t="str">
        <x:v>番茄</x:v>
      </x:c>
      <x:c r="F377" s="30" t="n">
        <x:v>150</x:v>
      </x:c>
      <x:c r="G377" s="30" t="str">
        <x:v>g</x:v>
      </x:c>
      <x:c r="H377" s="30" t="str">
        <x:v>raw_edible_weight</x:v>
      </x:c>
      <x:c r="I377" s="30" t="n">
        <x:v>10</x:v>
      </x:c>
      <x:c r="J377" s="30" t="n">
        <x:v>150</x:v>
      </x:c>
      <x:c r="K377" s="30" t="str">
        <x:v>番茄150g</x:v>
      </x:c>
      <x:c r="L377" s="76" t="b">
        <x:v>1</x:v>
      </x:c>
      <x:c r="M377" s="30" t="str">
        <x:v>已按MDT确认的Ingredient Master min/max/step执行化；执行量变化后必须重算营养。</x:v>
      </x:c>
      <x:c r="N377" s="30" t="n">
        <x:v>150</x:v>
      </x:c>
    </x:row>
    <x:row r="378">
      <x:c r="A378" s="30" t="str">
        <x:v>V011</x:v>
      </x:c>
      <x:c r="B378" s="30" t="str">
        <x:v>生菜番茄沙拉（中式清拌）</x:v>
      </x:c>
      <x:c r="C378" s="30" t="str">
        <x:v>LINEAR_VEGETABLE_LARGE_BASE</x:v>
      </x:c>
      <x:c r="D378" s="30" t="n">
        <x:v>1</x:v>
      </x:c>
      <x:c r="E378" s="30" t="str">
        <x:v>植物油</x:v>
      </x:c>
      <x:c r="F378" s="30" t="n">
        <x:v>3</x:v>
      </x:c>
      <x:c r="G378" s="30" t="str">
        <x:v>g</x:v>
      </x:c>
      <x:c r="H378" s="30" t="str">
        <x:v>added_weight</x:v>
      </x:c>
      <x:c r="I378" s="30" t="n">
        <x:v>1</x:v>
      </x:c>
      <x:c r="J378" s="30" t="n">
        <x:v>3</x:v>
      </x:c>
      <x:c r="K378" s="30" t="str">
        <x:v>植物油3g</x:v>
      </x:c>
      <x:c r="L378" s="76" t="b">
        <x:v>1</x:v>
      </x:c>
      <x:c r="M378" s="30" t="str">
        <x:v>已按MDT确认的Ingredient Master min/max/step执行化；执行量变化后必须重算营养。</x:v>
      </x:c>
      <x:c r="N378" s="30" t="n">
        <x:v>3</x:v>
      </x:c>
    </x:row>
    <x:row r="379">
      <x:c r="A379" s="30" t="str">
        <x:v>V011</x:v>
      </x:c>
      <x:c r="B379" s="30" t="str">
        <x:v>生菜番茄沙拉（中式清拌）</x:v>
      </x:c>
      <x:c r="C379" s="30" t="str">
        <x:v>LINEAR_VEGETABLE_LARGE_BASE</x:v>
      </x:c>
      <x:c r="D379" s="30" t="n">
        <x:v>1.25</x:v>
      </x:c>
      <x:c r="E379" s="30"/>
      <x:c r="F379" s="30"/>
      <x:c r="G379" s="30"/>
      <x:c r="H379" s="30"/>
      <x:c r="I379" s="30"/>
      <x:c r="J379" s="30"/>
      <x:c r="K379" s="30" t="str">
        <x:v>该档位不允许整组件直接缩放</x:v>
      </x:c>
      <x:c r="L379" s="76" t="b">
        <x:v>0</x:v>
      </x:c>
      <x:c r="M379" s="30" t="str">
        <x:v>超出本组件候选执行边界。</x:v>
      </x:c>
      <x:c r="N379" s="30" t="str">
        <x:f>IF(OR(J379="",I379=""),"",ROUND(J379/I379,0)*I379)</x:f>
      </x:c>
    </x:row>
    <x:row r="380">
      <x:c r="A380" s="30" t="str">
        <x:v>V011</x:v>
      </x:c>
      <x:c r="B380" s="30" t="str">
        <x:v>生菜番茄沙拉（中式清拌）</x:v>
      </x:c>
      <x:c r="C380" s="30" t="str">
        <x:v>LINEAR_VEGETABLE_LARGE_BASE</x:v>
      </x:c>
      <x:c r="D380" s="30" t="n">
        <x:v>1.5</x:v>
      </x:c>
      <x:c r="E380" s="30"/>
      <x:c r="F380" s="30"/>
      <x:c r="G380" s="30"/>
      <x:c r="H380" s="30"/>
      <x:c r="I380" s="30"/>
      <x:c r="J380" s="30"/>
      <x:c r="K380" s="30" t="str">
        <x:v>该档位不允许整组件直接缩放</x:v>
      </x:c>
      <x:c r="L380" s="76" t="b">
        <x:v>0</x:v>
      </x:c>
      <x:c r="M380" s="30" t="str">
        <x:v>超出本组件候选执行边界。</x:v>
      </x:c>
      <x:c r="N380" s="30" t="str">
        <x:f>IF(OR(J380="",I380=""),"",ROUND(J380/I380,0)*I380)</x:f>
      </x:c>
    </x:row>
    <x:row r="381">
      <x:c r="A381" s="30" t="str">
        <x:v>V012</x:v>
      </x:c>
      <x:c r="B381" s="30" t="str">
        <x:v>西兰花胡萝卜双蔬</x:v>
      </x:c>
      <x:c r="C381" s="30" t="str">
        <x:v>LINEAR_VEGETABLE_LIMITED</x:v>
      </x:c>
      <x:c r="D381" s="30" t="n">
        <x:v>0.5</x:v>
      </x:c>
      <x:c r="E381" s="30" t="str">
        <x:v>西兰花</x:v>
      </x:c>
      <x:c r="F381" s="30" t="n">
        <x:v>150</x:v>
      </x:c>
      <x:c r="G381" s="30" t="str">
        <x:v>g</x:v>
      </x:c>
      <x:c r="H381" s="30" t="str">
        <x:v>raw_edible_weight</x:v>
      </x:c>
      <x:c r="I381" s="30" t="n">
        <x:v>10</x:v>
      </x:c>
      <x:c r="J381" s="30" t="n">
        <x:v>75</x:v>
      </x:c>
      <x:c r="K381" s="30" t="str">
        <x:v>西兰花80g</x:v>
      </x:c>
      <x:c r="L381" s="76" t="b">
        <x:v>1</x:v>
      </x:c>
      <x:c r="M381" s="30" t="str">
        <x:v>已按MDT确认的Ingredient Master min/max/step执行化；执行量变化后必须重算营养。</x:v>
      </x:c>
      <x:c r="N381" s="30" t="n">
        <x:v>80</x:v>
      </x:c>
    </x:row>
    <x:row r="382">
      <x:c r="A382" s="30" t="str">
        <x:v>V012</x:v>
      </x:c>
      <x:c r="B382" s="30" t="str">
        <x:v>西兰花胡萝卜双蔬</x:v>
      </x:c>
      <x:c r="C382" s="30" t="str">
        <x:v>LINEAR_VEGETABLE_LIMITED</x:v>
      </x:c>
      <x:c r="D382" s="30" t="n">
        <x:v>0.5</x:v>
      </x:c>
      <x:c r="E382" s="30" t="str">
        <x:v>胡萝卜</x:v>
      </x:c>
      <x:c r="F382" s="30" t="n">
        <x:v>80</x:v>
      </x:c>
      <x:c r="G382" s="30" t="str">
        <x:v>g</x:v>
      </x:c>
      <x:c r="H382" s="30" t="str">
        <x:v>raw_edible_weight</x:v>
      </x:c>
      <x:c r="I382" s="30" t="n">
        <x:v>10</x:v>
      </x:c>
      <x:c r="J382" s="30" t="n">
        <x:v>40</x:v>
      </x:c>
      <x:c r="K382" s="30" t="str">
        <x:v>胡萝卜40g</x:v>
      </x:c>
      <x:c r="L382" s="76" t="b">
        <x:v>1</x:v>
      </x:c>
      <x:c r="M382" s="30" t="str">
        <x:v>已按MDT确认的Ingredient Master min/max/step执行化；执行量变化后必须重算营养。</x:v>
      </x:c>
      <x:c r="N382" s="30" t="n">
        <x:v>40</x:v>
      </x:c>
    </x:row>
    <x:row r="383">
      <x:c r="A383" s="30" t="str">
        <x:v>V012</x:v>
      </x:c>
      <x:c r="B383" s="30" t="str">
        <x:v>西兰花胡萝卜双蔬</x:v>
      </x:c>
      <x:c r="C383" s="30" t="str">
        <x:v>LINEAR_VEGETABLE_LIMITED</x:v>
      </x:c>
      <x:c r="D383" s="30" t="n">
        <x:v>0.5</x:v>
      </x:c>
      <x:c r="E383" s="30" t="str">
        <x:v>植物油</x:v>
      </x:c>
      <x:c r="F383" s="30" t="n">
        <x:v>5</x:v>
      </x:c>
      <x:c r="G383" s="30" t="str">
        <x:v>g</x:v>
      </x:c>
      <x:c r="H383" s="30" t="str">
        <x:v>added_weight</x:v>
      </x:c>
      <x:c r="I383" s="30" t="n">
        <x:v>1</x:v>
      </x:c>
      <x:c r="J383" s="30" t="n">
        <x:v>2.5</x:v>
      </x:c>
      <x:c r="K383" s="30" t="str">
        <x:v>植物油3g</x:v>
      </x:c>
      <x:c r="L383" s="76" t="b">
        <x:v>1</x:v>
      </x:c>
      <x:c r="M383" s="30" t="str">
        <x:v>已按MDT确认的Ingredient Master min/max/step执行化；执行量变化后必须重算营养。</x:v>
      </x:c>
      <x:c r="N383" s="30" t="n">
        <x:v>3</x:v>
      </x:c>
    </x:row>
    <x:row r="384">
      <x:c r="A384" s="30" t="str">
        <x:v>V012</x:v>
      </x:c>
      <x:c r="B384" s="30" t="str">
        <x:v>西兰花胡萝卜双蔬</x:v>
      </x:c>
      <x:c r="C384" s="30" t="str">
        <x:v>LINEAR_VEGETABLE_LIMITED</x:v>
      </x:c>
      <x:c r="D384" s="30" t="n">
        <x:v>0.75</x:v>
      </x:c>
      <x:c r="E384" s="30" t="str">
        <x:v>西兰花</x:v>
      </x:c>
      <x:c r="F384" s="30" t="n">
        <x:v>150</x:v>
      </x:c>
      <x:c r="G384" s="30" t="str">
        <x:v>g</x:v>
      </x:c>
      <x:c r="H384" s="30" t="str">
        <x:v>raw_edible_weight</x:v>
      </x:c>
      <x:c r="I384" s="30" t="n">
        <x:v>10</x:v>
      </x:c>
      <x:c r="J384" s="30" t="n">
        <x:v>112.5</x:v>
      </x:c>
      <x:c r="K384" s="30" t="str">
        <x:v>西兰花110g</x:v>
      </x:c>
      <x:c r="L384" s="76" t="b">
        <x:v>1</x:v>
      </x:c>
      <x:c r="M384" s="30" t="str">
        <x:v>已按MDT确认的Ingredient Master min/max/step执行化；执行量变化后必须重算营养。</x:v>
      </x:c>
      <x:c r="N384" s="30" t="n">
        <x:v>110</x:v>
      </x:c>
    </x:row>
    <x:row r="385">
      <x:c r="A385" s="30" t="str">
        <x:v>V012</x:v>
      </x:c>
      <x:c r="B385" s="30" t="str">
        <x:v>西兰花胡萝卜双蔬</x:v>
      </x:c>
      <x:c r="C385" s="30" t="str">
        <x:v>LINEAR_VEGETABLE_LIMITED</x:v>
      </x:c>
      <x:c r="D385" s="30" t="n">
        <x:v>0.75</x:v>
      </x:c>
      <x:c r="E385" s="30" t="str">
        <x:v>胡萝卜</x:v>
      </x:c>
      <x:c r="F385" s="30" t="n">
        <x:v>80</x:v>
      </x:c>
      <x:c r="G385" s="30" t="str">
        <x:v>g</x:v>
      </x:c>
      <x:c r="H385" s="30" t="str">
        <x:v>raw_edible_weight</x:v>
      </x:c>
      <x:c r="I385" s="30" t="n">
        <x:v>10</x:v>
      </x:c>
      <x:c r="J385" s="30" t="n">
        <x:v>60</x:v>
      </x:c>
      <x:c r="K385" s="30" t="str">
        <x:v>胡萝卜60g</x:v>
      </x:c>
      <x:c r="L385" s="76" t="b">
        <x:v>1</x:v>
      </x:c>
      <x:c r="M385" s="30" t="str">
        <x:v>已按MDT确认的Ingredient Master min/max/step执行化；执行量变化后必须重算营养。</x:v>
      </x:c>
      <x:c r="N385" s="30" t="n">
        <x:v>60</x:v>
      </x:c>
    </x:row>
    <x:row r="386">
      <x:c r="A386" s="30" t="str">
        <x:v>V012</x:v>
      </x:c>
      <x:c r="B386" s="30" t="str">
        <x:v>西兰花胡萝卜双蔬</x:v>
      </x:c>
      <x:c r="C386" s="30" t="str">
        <x:v>LINEAR_VEGETABLE_LIMITED</x:v>
      </x:c>
      <x:c r="D386" s="30" t="n">
        <x:v>0.75</x:v>
      </x:c>
      <x:c r="E386" s="30" t="str">
        <x:v>植物油</x:v>
      </x:c>
      <x:c r="F386" s="30" t="n">
        <x:v>5</x:v>
      </x:c>
      <x:c r="G386" s="30" t="str">
        <x:v>g</x:v>
      </x:c>
      <x:c r="H386" s="30" t="str">
        <x:v>added_weight</x:v>
      </x:c>
      <x:c r="I386" s="30" t="n">
        <x:v>1</x:v>
      </x:c>
      <x:c r="J386" s="30" t="n">
        <x:v>3.75</x:v>
      </x:c>
      <x:c r="K386" s="30" t="str">
        <x:v>植物油4g</x:v>
      </x:c>
      <x:c r="L386" s="76" t="b">
        <x:v>1</x:v>
      </x:c>
      <x:c r="M386" s="30" t="str">
        <x:v>已按MDT确认的Ingredient Master min/max/step执行化；执行量变化后必须重算营养。</x:v>
      </x:c>
      <x:c r="N386" s="30" t="n">
        <x:v>4</x:v>
      </x:c>
    </x:row>
    <x:row r="387">
      <x:c r="A387" s="30" t="str">
        <x:v>V012</x:v>
      </x:c>
      <x:c r="B387" s="30" t="str">
        <x:v>西兰花胡萝卜双蔬</x:v>
      </x:c>
      <x:c r="C387" s="30" t="str">
        <x:v>LINEAR_VEGETABLE_LIMITED</x:v>
      </x:c>
      <x:c r="D387" s="30" t="n">
        <x:v>1</x:v>
      </x:c>
      <x:c r="E387" s="30" t="str">
        <x:v>西兰花</x:v>
      </x:c>
      <x:c r="F387" s="30" t="n">
        <x:v>150</x:v>
      </x:c>
      <x:c r="G387" s="30" t="str">
        <x:v>g</x:v>
      </x:c>
      <x:c r="H387" s="30" t="str">
        <x:v>raw_edible_weight</x:v>
      </x:c>
      <x:c r="I387" s="30" t="n">
        <x:v>10</x:v>
      </x:c>
      <x:c r="J387" s="30" t="n">
        <x:v>150</x:v>
      </x:c>
      <x:c r="K387" s="30" t="str">
        <x:v>西兰花150g</x:v>
      </x:c>
      <x:c r="L387" s="76" t="b">
        <x:v>1</x:v>
      </x:c>
      <x:c r="M387" s="30" t="str">
        <x:v>已按MDT确认的Ingredient Master min/max/step执行化；执行量变化后必须重算营养。</x:v>
      </x:c>
      <x:c r="N387" s="30" t="n">
        <x:v>150</x:v>
      </x:c>
    </x:row>
    <x:row r="388">
      <x:c r="A388" s="30" t="str">
        <x:v>V012</x:v>
      </x:c>
      <x:c r="B388" s="30" t="str">
        <x:v>西兰花胡萝卜双蔬</x:v>
      </x:c>
      <x:c r="C388" s="30" t="str">
        <x:v>LINEAR_VEGETABLE_LIMITED</x:v>
      </x:c>
      <x:c r="D388" s="30" t="n">
        <x:v>1</x:v>
      </x:c>
      <x:c r="E388" s="30" t="str">
        <x:v>胡萝卜</x:v>
      </x:c>
      <x:c r="F388" s="30" t="n">
        <x:v>80</x:v>
      </x:c>
      <x:c r="G388" s="30" t="str">
        <x:v>g</x:v>
      </x:c>
      <x:c r="H388" s="30" t="str">
        <x:v>raw_edible_weight</x:v>
      </x:c>
      <x:c r="I388" s="30" t="n">
        <x:v>10</x:v>
      </x:c>
      <x:c r="J388" s="30" t="n">
        <x:v>80</x:v>
      </x:c>
      <x:c r="K388" s="30" t="str">
        <x:v>胡萝卜80g</x:v>
      </x:c>
      <x:c r="L388" s="76" t="b">
        <x:v>1</x:v>
      </x:c>
      <x:c r="M388" s="30" t="str">
        <x:v>已按MDT确认的Ingredient Master min/max/step执行化；执行量变化后必须重算营养。</x:v>
      </x:c>
      <x:c r="N388" s="30" t="n">
        <x:v>80</x:v>
      </x:c>
    </x:row>
    <x:row r="389">
      <x:c r="A389" s="30" t="str">
        <x:v>V012</x:v>
      </x:c>
      <x:c r="B389" s="30" t="str">
        <x:v>西兰花胡萝卜双蔬</x:v>
      </x:c>
      <x:c r="C389" s="30" t="str">
        <x:v>LINEAR_VEGETABLE_LIMITED</x:v>
      </x:c>
      <x:c r="D389" s="30" t="n">
        <x:v>1</x:v>
      </x:c>
      <x:c r="E389" s="30" t="str">
        <x:v>植物油</x:v>
      </x:c>
      <x:c r="F389" s="30" t="n">
        <x:v>5</x:v>
      </x:c>
      <x:c r="G389" s="30" t="str">
        <x:v>g</x:v>
      </x:c>
      <x:c r="H389" s="30" t="str">
        <x:v>added_weight</x:v>
      </x:c>
      <x:c r="I389" s="30" t="n">
        <x:v>1</x:v>
      </x:c>
      <x:c r="J389" s="30" t="n">
        <x:v>5</x:v>
      </x:c>
      <x:c r="K389" s="30" t="str">
        <x:v>植物油5g</x:v>
      </x:c>
      <x:c r="L389" s="76" t="b">
        <x:v>1</x:v>
      </x:c>
      <x:c r="M389" s="30" t="str">
        <x:v>已按MDT确认的Ingredient Master min/max/step执行化；执行量变化后必须重算营养。</x:v>
      </x:c>
      <x:c r="N389" s="30" t="n">
        <x:v>5</x:v>
      </x:c>
    </x:row>
    <x:row r="390">
      <x:c r="A390" s="30" t="str">
        <x:v>V012</x:v>
      </x:c>
      <x:c r="B390" s="30" t="str">
        <x:v>西兰花胡萝卜双蔬</x:v>
      </x:c>
      <x:c r="C390" s="30" t="str">
        <x:v>LINEAR_VEGETABLE_LIMITED</x:v>
      </x:c>
      <x:c r="D390" s="30" t="n">
        <x:v>1.25</x:v>
      </x:c>
      <x:c r="E390" s="30" t="str">
        <x:v>西兰花</x:v>
      </x:c>
      <x:c r="F390" s="30" t="n">
        <x:v>150</x:v>
      </x:c>
      <x:c r="G390" s="30" t="str">
        <x:v>g</x:v>
      </x:c>
      <x:c r="H390" s="30" t="str">
        <x:v>raw_edible_weight</x:v>
      </x:c>
      <x:c r="I390" s="30" t="n">
        <x:v>10</x:v>
      </x:c>
      <x:c r="J390" s="30" t="n">
        <x:v>187.5</x:v>
      </x:c>
      <x:c r="K390" s="30" t="str">
        <x:v>西兰花190g</x:v>
      </x:c>
      <x:c r="L390" s="76" t="b">
        <x:v>1</x:v>
      </x:c>
      <x:c r="M390" s="30" t="str">
        <x:v>已按MDT确认的Ingredient Master min/max/step执行化；执行量变化后必须重算营养。</x:v>
      </x:c>
      <x:c r="N390" s="30" t="n">
        <x:v>190</x:v>
      </x:c>
    </x:row>
    <x:row r="391">
      <x:c r="A391" s="30" t="str">
        <x:v>V012</x:v>
      </x:c>
      <x:c r="B391" s="30" t="str">
        <x:v>西兰花胡萝卜双蔬</x:v>
      </x:c>
      <x:c r="C391" s="30" t="str">
        <x:v>LINEAR_VEGETABLE_LIMITED</x:v>
      </x:c>
      <x:c r="D391" s="30" t="n">
        <x:v>1.25</x:v>
      </x:c>
      <x:c r="E391" s="30" t="str">
        <x:v>胡萝卜</x:v>
      </x:c>
      <x:c r="F391" s="30" t="n">
        <x:v>80</x:v>
      </x:c>
      <x:c r="G391" s="30" t="str">
        <x:v>g</x:v>
      </x:c>
      <x:c r="H391" s="30" t="str">
        <x:v>raw_edible_weight</x:v>
      </x:c>
      <x:c r="I391" s="30" t="n">
        <x:v>10</x:v>
      </x:c>
      <x:c r="J391" s="30" t="n">
        <x:v>100</x:v>
      </x:c>
      <x:c r="K391" s="30" t="str">
        <x:v>胡萝卜100g</x:v>
      </x:c>
      <x:c r="L391" s="76" t="b">
        <x:v>1</x:v>
      </x:c>
      <x:c r="M391" s="30" t="str">
        <x:v>已按MDT确认的Ingredient Master min/max/step执行化；执行量变化后必须重算营养。</x:v>
      </x:c>
      <x:c r="N391" s="30" t="n">
        <x:v>100</x:v>
      </x:c>
    </x:row>
    <x:row r="392">
      <x:c r="A392" s="30" t="str">
        <x:v>V012</x:v>
      </x:c>
      <x:c r="B392" s="30" t="str">
        <x:v>西兰花胡萝卜双蔬</x:v>
      </x:c>
      <x:c r="C392" s="30" t="str">
        <x:v>LINEAR_VEGETABLE_LIMITED</x:v>
      </x:c>
      <x:c r="D392" s="30" t="n">
        <x:v>1.25</x:v>
      </x:c>
      <x:c r="E392" s="30" t="str">
        <x:v>植物油</x:v>
      </x:c>
      <x:c r="F392" s="30" t="n">
        <x:v>5</x:v>
      </x:c>
      <x:c r="G392" s="30" t="str">
        <x:v>g</x:v>
      </x:c>
      <x:c r="H392" s="30" t="str">
        <x:v>added_weight</x:v>
      </x:c>
      <x:c r="I392" s="30" t="n">
        <x:v>1</x:v>
      </x:c>
      <x:c r="J392" s="30" t="n">
        <x:v>6.25</x:v>
      </x:c>
      <x:c r="K392" s="30" t="str">
        <x:v>植物油6g</x:v>
      </x:c>
      <x:c r="L392" s="76" t="b">
        <x:v>1</x:v>
      </x:c>
      <x:c r="M392" s="30" t="str">
        <x:v>已按MDT确认的Ingredient Master min/max/step执行化；执行量变化后必须重算营养。</x:v>
      </x:c>
      <x:c r="N392" s="30" t="n">
        <x:v>6</x:v>
      </x:c>
    </x:row>
    <x:row r="393">
      <x:c r="A393" s="30" t="str">
        <x:v>V012</x:v>
      </x:c>
      <x:c r="B393" s="30" t="str">
        <x:v>西兰花胡萝卜双蔬</x:v>
      </x:c>
      <x:c r="C393" s="30" t="str">
        <x:v>LINEAR_VEGETABLE_LIMITED</x:v>
      </x:c>
      <x:c r="D393" s="30" t="n">
        <x:v>1.5</x:v>
      </x:c>
      <x:c r="E393" s="30"/>
      <x:c r="F393" s="30"/>
      <x:c r="G393" s="30"/>
      <x:c r="H393" s="30"/>
      <x:c r="I393" s="30"/>
      <x:c r="J393" s="30"/>
      <x:c r="K393" s="30" t="str">
        <x:v>该档位不允许整组件直接缩放</x:v>
      </x:c>
      <x:c r="L393" s="76" t="b">
        <x:v>0</x:v>
      </x:c>
      <x:c r="M393" s="30" t="str">
        <x:v>超出本组件候选执行边界。</x:v>
      </x:c>
      <x:c r="N393" s="30" t="str">
        <x:f>IF(OR(J393="",I393=""),"",ROUND(J393/I393,0)*I393)</x:f>
      </x:c>
    </x:row>
    <x:row r="394">
      <x:c r="A394" s="30" t="str">
        <x:v>S001</x:v>
      </x:c>
      <x:c r="B394" s="30" t="str">
        <x:v>低脂奶+苹果</x:v>
      </x:c>
      <x:c r="C394" s="30" t="str">
        <x:v>FIXED_COMPOSITE_NO_DIRECT_SCALING</x:v>
      </x:c>
      <x:c r="D394" s="30" t="n">
        <x:v>0.5</x:v>
      </x:c>
      <x:c r="E394" s="30"/>
      <x:c r="F394" s="30"/>
      <x:c r="G394" s="30"/>
      <x:c r="H394" s="30"/>
      <x:c r="I394" s="30"/>
      <x:c r="J394" s="30"/>
      <x:c r="K394" s="30" t="str">
        <x:v>该档位不允许整组件直接缩放</x:v>
      </x:c>
      <x:c r="L394" s="76" t="b">
        <x:v>0</x:v>
      </x:c>
      <x:c r="M394" s="30" t="str">
        <x:v>改用其他标准组件或拆分为单食物对象后重算；禁止患者端显示该份数。</x:v>
      </x:c>
      <x:c r="N394" s="30" t="str">
        <x:f>IF(OR(J394="",I394=""),"",ROUND(J394/I394,0)*I394)</x:f>
      </x:c>
    </x:row>
    <x:row r="395">
      <x:c r="A395" s="30" t="str">
        <x:v>S001</x:v>
      </x:c>
      <x:c r="B395" s="30" t="str">
        <x:v>低脂奶+苹果</x:v>
      </x:c>
      <x:c r="C395" s="30" t="str">
        <x:v>FIXED_COMPOSITE_NO_DIRECT_SCALING</x:v>
      </x:c>
      <x:c r="D395" s="30" t="n">
        <x:v>0.75</x:v>
      </x:c>
      <x:c r="E395" s="30"/>
      <x:c r="F395" s="30"/>
      <x:c r="G395" s="30"/>
      <x:c r="H395" s="30"/>
      <x:c r="I395" s="30"/>
      <x:c r="J395" s="30"/>
      <x:c r="K395" s="30" t="str">
        <x:v>该档位不允许整组件直接缩放</x:v>
      </x:c>
      <x:c r="L395" s="76" t="b">
        <x:v>0</x:v>
      </x:c>
      <x:c r="M395" s="30" t="str">
        <x:v>改用其他标准组件或拆分为单食物对象后重算；禁止患者端显示该份数。</x:v>
      </x:c>
      <x:c r="N395" s="30" t="str">
        <x:f>IF(OR(J395="",I395=""),"",ROUND(J395/I395,0)*I395)</x:f>
      </x:c>
    </x:row>
    <x:row r="396">
      <x:c r="A396" s="30" t="str">
        <x:v>S001</x:v>
      </x:c>
      <x:c r="B396" s="30" t="str">
        <x:v>低脂奶+苹果</x:v>
      </x:c>
      <x:c r="C396" s="30" t="str">
        <x:v>FIXED_COMPOSITE_NO_DIRECT_SCALING</x:v>
      </x:c>
      <x:c r="D396" s="30" t="n">
        <x:v>1</x:v>
      </x:c>
      <x:c r="E396" s="30" t="str">
        <x:v>低脂牛奶</x:v>
      </x:c>
      <x:c r="F396" s="30" t="n">
        <x:v>200</x:v>
      </x:c>
      <x:c r="G396" s="30" t="str">
        <x:v>ml</x:v>
      </x:c>
      <x:c r="H396" s="30" t="str">
        <x:v>package_volume</x:v>
      </x:c>
      <x:c r="I396" s="30" t="n">
        <x:v>50</x:v>
      </x:c>
      <x:c r="J396" s="30" t="n">
        <x:v>200</x:v>
      </x:c>
      <x:c r="K396" s="30" t="str">
        <x:v>低脂牛奶200ml</x:v>
      </x:c>
      <x:c r="L396" s="76" t="b">
        <x:v>1</x:v>
      </x:c>
      <x:c r="M396" s="30" t="str">
        <x:v>已按MDT确认的Ingredient Master min/max/step执行化；执行量变化后必须重算营养。</x:v>
      </x:c>
      <x:c r="N396" s="30" t="n">
        <x:v>200</x:v>
      </x:c>
    </x:row>
    <x:row r="397">
      <x:c r="A397" s="30" t="str">
        <x:v>S001</x:v>
      </x:c>
      <x:c r="B397" s="30" t="str">
        <x:v>低脂奶+苹果</x:v>
      </x:c>
      <x:c r="C397" s="30" t="str">
        <x:v>FIXED_COMPOSITE_NO_DIRECT_SCALING</x:v>
      </x:c>
      <x:c r="D397" s="30" t="n">
        <x:v>1</x:v>
      </x:c>
      <x:c r="E397" s="30" t="str">
        <x:v>苹果</x:v>
      </x:c>
      <x:c r="F397" s="30" t="n">
        <x:v>120</x:v>
      </x:c>
      <x:c r="G397" s="30" t="str">
        <x:v>g</x:v>
      </x:c>
      <x:c r="H397" s="30" t="str">
        <x:v>raw_edible_weight</x:v>
      </x:c>
      <x:c r="I397" s="30" t="n">
        <x:v>10</x:v>
      </x:c>
      <x:c r="J397" s="30" t="n">
        <x:v>120</x:v>
      </x:c>
      <x:c r="K397" s="30" t="str">
        <x:v>苹果120g</x:v>
      </x:c>
      <x:c r="L397" s="76" t="b">
        <x:v>1</x:v>
      </x:c>
      <x:c r="M397" s="30" t="str">
        <x:v>已按MDT确认的Ingredient Master min/max/step执行化；执行量变化后必须重算营养。</x:v>
      </x:c>
      <x:c r="N397" s="30" t="n">
        <x:v>120</x:v>
      </x:c>
    </x:row>
    <x:row r="398">
      <x:c r="A398" s="30" t="str">
        <x:v>S001</x:v>
      </x:c>
      <x:c r="B398" s="30" t="str">
        <x:v>低脂奶+苹果</x:v>
      </x:c>
      <x:c r="C398" s="30" t="str">
        <x:v>FIXED_COMPOSITE_NO_DIRECT_SCALING</x:v>
      </x:c>
      <x:c r="D398" s="30" t="n">
        <x:v>1.25</x:v>
      </x:c>
      <x:c r="E398" s="30"/>
      <x:c r="F398" s="30"/>
      <x:c r="G398" s="30"/>
      <x:c r="H398" s="30"/>
      <x:c r="I398" s="30"/>
      <x:c r="J398" s="30"/>
      <x:c r="K398" s="30" t="str">
        <x:v>该档位不允许整组件直接缩放</x:v>
      </x:c>
      <x:c r="L398" s="76" t="b">
        <x:v>0</x:v>
      </x:c>
      <x:c r="M398" s="30" t="str">
        <x:v>改用其他标准组件或拆分为单食物对象后重算；禁止患者端显示该份数。</x:v>
      </x:c>
      <x:c r="N398" s="30" t="str">
        <x:f>IF(OR(J398="",I398=""),"",ROUND(J398/I398,0)*I398)</x:f>
      </x:c>
    </x:row>
    <x:row r="399">
      <x:c r="A399" s="30" t="str">
        <x:v>S001</x:v>
      </x:c>
      <x:c r="B399" s="30" t="str">
        <x:v>低脂奶+苹果</x:v>
      </x:c>
      <x:c r="C399" s="30" t="str">
        <x:v>FIXED_COMPOSITE_NO_DIRECT_SCALING</x:v>
      </x:c>
      <x:c r="D399" s="30" t="n">
        <x:v>1.5</x:v>
      </x:c>
      <x:c r="E399" s="30"/>
      <x:c r="F399" s="30"/>
      <x:c r="G399" s="30"/>
      <x:c r="H399" s="30"/>
      <x:c r="I399" s="30"/>
      <x:c r="J399" s="30"/>
      <x:c r="K399" s="30" t="str">
        <x:v>该档位不允许整组件直接缩放</x:v>
      </x:c>
      <x:c r="L399" s="76" t="b">
        <x:v>0</x:v>
      </x:c>
      <x:c r="M399" s="30" t="str">
        <x:v>改用其他标准组件或拆分为单食物对象后重算；禁止患者端显示该份数。</x:v>
      </x:c>
      <x:c r="N399" s="30" t="str">
        <x:f>IF(OR(J399="",I399=""),"",ROUND(J399/I399,0)*I399)</x:f>
      </x:c>
    </x:row>
    <x:row r="400">
      <x:c r="A400" s="30" t="str">
        <x:v>S002</x:v>
      </x:c>
      <x:c r="B400" s="30" t="str">
        <x:v>无糖酸奶+草莓</x:v>
      </x:c>
      <x:c r="C400" s="30" t="str">
        <x:v>FIXED_COMPOSITE_NO_DIRECT_SCALING</x:v>
      </x:c>
      <x:c r="D400" s="30" t="n">
        <x:v>0.5</x:v>
      </x:c>
      <x:c r="E400" s="30"/>
      <x:c r="F400" s="30"/>
      <x:c r="G400" s="30"/>
      <x:c r="H400" s="30"/>
      <x:c r="I400" s="30"/>
      <x:c r="J400" s="30"/>
      <x:c r="K400" s="30" t="str">
        <x:v>该档位不允许整组件直接缩放</x:v>
      </x:c>
      <x:c r="L400" s="76" t="b">
        <x:v>0</x:v>
      </x:c>
      <x:c r="M400" s="30" t="str">
        <x:v>改用其他标准组件或拆分为单食物对象后重算；禁止患者端显示该份数。</x:v>
      </x:c>
      <x:c r="N400" s="30" t="str">
        <x:f>IF(OR(J400="",I400=""),"",ROUND(J400/I400,0)*I400)</x:f>
      </x:c>
    </x:row>
    <x:row r="401">
      <x:c r="A401" s="30" t="str">
        <x:v>S002</x:v>
      </x:c>
      <x:c r="B401" s="30" t="str">
        <x:v>无糖酸奶+草莓</x:v>
      </x:c>
      <x:c r="C401" s="30" t="str">
        <x:v>FIXED_COMPOSITE_NO_DIRECT_SCALING</x:v>
      </x:c>
      <x:c r="D401" s="30" t="n">
        <x:v>0.75</x:v>
      </x:c>
      <x:c r="E401" s="30"/>
      <x:c r="F401" s="30"/>
      <x:c r="G401" s="30"/>
      <x:c r="H401" s="30"/>
      <x:c r="I401" s="30"/>
      <x:c r="J401" s="30"/>
      <x:c r="K401" s="30" t="str">
        <x:v>该档位不允许整组件直接缩放</x:v>
      </x:c>
      <x:c r="L401" s="76" t="b">
        <x:v>0</x:v>
      </x:c>
      <x:c r="M401" s="30" t="str">
        <x:v>改用其他标准组件或拆分为单食物对象后重算；禁止患者端显示该份数。</x:v>
      </x:c>
      <x:c r="N401" s="30" t="str">
        <x:f>IF(OR(J401="",I401=""),"",ROUND(J401/I401,0)*I401)</x:f>
      </x:c>
    </x:row>
    <x:row r="402">
      <x:c r="A402" s="30" t="str">
        <x:v>S002</x:v>
      </x:c>
      <x:c r="B402" s="30" t="str">
        <x:v>无糖酸奶+草莓</x:v>
      </x:c>
      <x:c r="C402" s="30" t="str">
        <x:v>FIXED_COMPOSITE_NO_DIRECT_SCALING</x:v>
      </x:c>
      <x:c r="D402" s="30" t="n">
        <x:v>1</x:v>
      </x:c>
      <x:c r="E402" s="30" t="str">
        <x:v>无糖酸奶</x:v>
      </x:c>
      <x:c r="F402" s="30" t="n">
        <x:v>150</x:v>
      </x:c>
      <x:c r="G402" s="30" t="str">
        <x:v>g</x:v>
      </x:c>
      <x:c r="H402" s="30" t="str">
        <x:v>package_net_weight</x:v>
      </x:c>
      <x:c r="I402" s="30" t="n">
        <x:v>50</x:v>
      </x:c>
      <x:c r="J402" s="30" t="n">
        <x:v>150</x:v>
      </x:c>
      <x:c r="K402" s="30" t="str">
        <x:v>无糖酸奶150g</x:v>
      </x:c>
      <x:c r="L402" s="76" t="b">
        <x:v>1</x:v>
      </x:c>
      <x:c r="M402" s="30" t="str">
        <x:v>按包装净含量g执行；产品标签来源待补；不得自动ml↔g换算。</x:v>
      </x:c>
      <x:c r="N402" s="30" t="n">
        <x:f>IF(OR(J402="",I402=""),"",ROUND(J402/I402,0)*I402)</x:f>
        <x:v>150</x:v>
      </x:c>
    </x:row>
    <x:row r="403">
      <x:c r="A403" s="30" t="str">
        <x:v>S002</x:v>
      </x:c>
      <x:c r="B403" s="30" t="str">
        <x:v>无糖酸奶+草莓</x:v>
      </x:c>
      <x:c r="C403" s="30" t="str">
        <x:v>FIXED_COMPOSITE_NO_DIRECT_SCALING</x:v>
      </x:c>
      <x:c r="D403" s="30" t="n">
        <x:v>1</x:v>
      </x:c>
      <x:c r="E403" s="30" t="str">
        <x:v>草莓</x:v>
      </x:c>
      <x:c r="F403" s="30" t="n">
        <x:v>150</x:v>
      </x:c>
      <x:c r="G403" s="30" t="str">
        <x:v>g</x:v>
      </x:c>
      <x:c r="H403" s="30" t="str">
        <x:v>raw_edible_weight</x:v>
      </x:c>
      <x:c r="I403" s="30" t="n">
        <x:v>10</x:v>
      </x:c>
      <x:c r="J403" s="30" t="n">
        <x:v>150</x:v>
      </x:c>
      <x:c r="K403" s="30" t="str">
        <x:v>草莓150g</x:v>
      </x:c>
      <x:c r="L403" s="76" t="b">
        <x:v>1</x:v>
      </x:c>
      <x:c r="M403" s="30" t="str">
        <x:v>已按MDT确认的Ingredient Master min/max/step执行化；执行量变化后必须重算营养。</x:v>
      </x:c>
      <x:c r="N403" s="30" t="n">
        <x:v>150</x:v>
      </x:c>
    </x:row>
    <x:row r="404">
      <x:c r="A404" s="30" t="str">
        <x:v>S002</x:v>
      </x:c>
      <x:c r="B404" s="30" t="str">
        <x:v>无糖酸奶+草莓</x:v>
      </x:c>
      <x:c r="C404" s="30" t="str">
        <x:v>FIXED_COMPOSITE_NO_DIRECT_SCALING</x:v>
      </x:c>
      <x:c r="D404" s="30" t="n">
        <x:v>1.25</x:v>
      </x:c>
      <x:c r="E404" s="30"/>
      <x:c r="F404" s="30"/>
      <x:c r="G404" s="30"/>
      <x:c r="H404" s="30"/>
      <x:c r="I404" s="30"/>
      <x:c r="J404" s="30"/>
      <x:c r="K404" s="30" t="str">
        <x:v>该档位不允许整组件直接缩放</x:v>
      </x:c>
      <x:c r="L404" s="76" t="b">
        <x:v>0</x:v>
      </x:c>
      <x:c r="M404" s="30" t="str">
        <x:v>改用其他标准组件或拆分为单食物对象后重算；禁止患者端显示该份数。</x:v>
      </x:c>
      <x:c r="N404" s="30" t="str">
        <x:f>IF(OR(J404="",I404=""),"",ROUND(J404/I404,0)*I404)</x:f>
      </x:c>
    </x:row>
    <x:row r="405">
      <x:c r="A405" s="30" t="str">
        <x:v>S002</x:v>
      </x:c>
      <x:c r="B405" s="30" t="str">
        <x:v>无糖酸奶+草莓</x:v>
      </x:c>
      <x:c r="C405" s="30" t="str">
        <x:v>FIXED_COMPOSITE_NO_DIRECT_SCALING</x:v>
      </x:c>
      <x:c r="D405" s="30" t="n">
        <x:v>1.5</x:v>
      </x:c>
      <x:c r="E405" s="30"/>
      <x:c r="F405" s="30"/>
      <x:c r="G405" s="30"/>
      <x:c r="H405" s="30"/>
      <x:c r="I405" s="30"/>
      <x:c r="J405" s="30"/>
      <x:c r="K405" s="30" t="str">
        <x:v>该档位不允许整组件直接缩放</x:v>
      </x:c>
      <x:c r="L405" s="76" t="b">
        <x:v>0</x:v>
      </x:c>
      <x:c r="M405" s="30" t="str">
        <x:v>改用其他标准组件或拆分为单食物对象后重算；禁止患者端显示该份数。</x:v>
      </x:c>
      <x:c r="N405" s="30" t="str">
        <x:f>IF(OR(J405="",I405=""),"",ROUND(J405/I405,0)*I405)</x:f>
      </x:c>
    </x:row>
    <x:row r="406">
      <x:c r="A406" s="30" t="str">
        <x:v>S003</x:v>
      </x:c>
      <x:c r="B406" s="30" t="str">
        <x:v>无糖豆浆+梨</x:v>
      </x:c>
      <x:c r="C406" s="30" t="str">
        <x:v>FIXED_COMPOSITE_NO_DIRECT_SCALING</x:v>
      </x:c>
      <x:c r="D406" s="30" t="n">
        <x:v>0.5</x:v>
      </x:c>
      <x:c r="E406" s="30"/>
      <x:c r="F406" s="30"/>
      <x:c r="G406" s="30"/>
      <x:c r="H406" s="30"/>
      <x:c r="I406" s="30"/>
      <x:c r="J406" s="30"/>
      <x:c r="K406" s="30" t="str">
        <x:v>该档位不允许整组件直接缩放</x:v>
      </x:c>
      <x:c r="L406" s="76" t="b">
        <x:v>0</x:v>
      </x:c>
      <x:c r="M406" s="30" t="str">
        <x:v>改用其他标准组件或拆分为单食物对象后重算；禁止患者端显示该份数。</x:v>
      </x:c>
      <x:c r="N406" s="30" t="str">
        <x:f>IF(OR(J406="",I406=""),"",ROUND(J406/I406,0)*I406)</x:f>
      </x:c>
    </x:row>
    <x:row r="407">
      <x:c r="A407" s="30" t="str">
        <x:v>S003</x:v>
      </x:c>
      <x:c r="B407" s="30" t="str">
        <x:v>无糖豆浆+梨</x:v>
      </x:c>
      <x:c r="C407" s="30" t="str">
        <x:v>FIXED_COMPOSITE_NO_DIRECT_SCALING</x:v>
      </x:c>
      <x:c r="D407" s="30" t="n">
        <x:v>0.75</x:v>
      </x:c>
      <x:c r="E407" s="30"/>
      <x:c r="F407" s="30"/>
      <x:c r="G407" s="30"/>
      <x:c r="H407" s="30"/>
      <x:c r="I407" s="30"/>
      <x:c r="J407" s="30"/>
      <x:c r="K407" s="30" t="str">
        <x:v>该档位不允许整组件直接缩放</x:v>
      </x:c>
      <x:c r="L407" s="76" t="b">
        <x:v>0</x:v>
      </x:c>
      <x:c r="M407" s="30" t="str">
        <x:v>改用其他标准组件或拆分为单食物对象后重算；禁止患者端显示该份数。</x:v>
      </x:c>
      <x:c r="N407" s="30" t="str">
        <x:f>IF(OR(J407="",I407=""),"",ROUND(J407/I407,0)*I407)</x:f>
      </x:c>
    </x:row>
    <x:row r="408">
      <x:c r="A408" s="30" t="str">
        <x:v>S003</x:v>
      </x:c>
      <x:c r="B408" s="30" t="str">
        <x:v>无糖豆浆+梨</x:v>
      </x:c>
      <x:c r="C408" s="30" t="str">
        <x:v>FIXED_COMPOSITE_NO_DIRECT_SCALING</x:v>
      </x:c>
      <x:c r="D408" s="30" t="n">
        <x:v>1</x:v>
      </x:c>
      <x:c r="E408" s="30" t="str">
        <x:v>无糖豆浆</x:v>
      </x:c>
      <x:c r="F408" s="30" t="n">
        <x:v>250</x:v>
      </x:c>
      <x:c r="G408" s="30" t="str">
        <x:v>ml</x:v>
      </x:c>
      <x:c r="H408" s="30" t="str">
        <x:v>package_volume</x:v>
      </x:c>
      <x:c r="I408" s="30" t="n">
        <x:v>50</x:v>
      </x:c>
      <x:c r="J408" s="30" t="n">
        <x:v>250</x:v>
      </x:c>
      <x:c r="K408" s="30" t="str">
        <x:v>无糖豆浆250ml</x:v>
      </x:c>
      <x:c r="L408" s="76" t="b">
        <x:v>1</x:v>
      </x:c>
      <x:c r="M408" s="30" t="str">
        <x:v>已按MDT确认的Ingredient Master min/max/step执行化；执行量变化后必须重算营养。</x:v>
      </x:c>
      <x:c r="N408" s="30" t="n">
        <x:v>250</x:v>
      </x:c>
    </x:row>
    <x:row r="409">
      <x:c r="A409" s="30" t="str">
        <x:v>S003</x:v>
      </x:c>
      <x:c r="B409" s="30" t="str">
        <x:v>无糖豆浆+梨</x:v>
      </x:c>
      <x:c r="C409" s="30" t="str">
        <x:v>FIXED_COMPOSITE_NO_DIRECT_SCALING</x:v>
      </x:c>
      <x:c r="D409" s="30" t="n">
        <x:v>1</x:v>
      </x:c>
      <x:c r="E409" s="30" t="str">
        <x:v>梨</x:v>
      </x:c>
      <x:c r="F409" s="30" t="n">
        <x:v>120</x:v>
      </x:c>
      <x:c r="G409" s="30" t="str">
        <x:v>g</x:v>
      </x:c>
      <x:c r="H409" s="30" t="str">
        <x:v>raw_edible_weight</x:v>
      </x:c>
      <x:c r="I409" s="30" t="n">
        <x:v>10</x:v>
      </x:c>
      <x:c r="J409" s="30" t="n">
        <x:v>120</x:v>
      </x:c>
      <x:c r="K409" s="30" t="str">
        <x:v>梨120g</x:v>
      </x:c>
      <x:c r="L409" s="76" t="b">
        <x:v>1</x:v>
      </x:c>
      <x:c r="M409" s="30" t="str">
        <x:v>已按MDT确认的Ingredient Master min/max/step执行化；执行量变化后必须重算营养。</x:v>
      </x:c>
      <x:c r="N409" s="30" t="n">
        <x:v>120</x:v>
      </x:c>
    </x:row>
    <x:row r="410">
      <x:c r="A410" s="30" t="str">
        <x:v>S003</x:v>
      </x:c>
      <x:c r="B410" s="30" t="str">
        <x:v>无糖豆浆+梨</x:v>
      </x:c>
      <x:c r="C410" s="30" t="str">
        <x:v>FIXED_COMPOSITE_NO_DIRECT_SCALING</x:v>
      </x:c>
      <x:c r="D410" s="30" t="n">
        <x:v>1.25</x:v>
      </x:c>
      <x:c r="E410" s="30"/>
      <x:c r="F410" s="30"/>
      <x:c r="G410" s="30"/>
      <x:c r="H410" s="30"/>
      <x:c r="I410" s="30"/>
      <x:c r="J410" s="30"/>
      <x:c r="K410" s="30" t="str">
        <x:v>该档位不允许整组件直接缩放</x:v>
      </x:c>
      <x:c r="L410" s="76" t="b">
        <x:v>0</x:v>
      </x:c>
      <x:c r="M410" s="30" t="str">
        <x:v>改用其他标准组件或拆分为单食物对象后重算；禁止患者端显示该份数。</x:v>
      </x:c>
      <x:c r="N410" s="30" t="str">
        <x:f>IF(OR(J410="",I410=""),"",ROUND(J410/I410,0)*I410)</x:f>
      </x:c>
    </x:row>
    <x:row r="411">
      <x:c r="A411" s="30" t="str">
        <x:v>S003</x:v>
      </x:c>
      <x:c r="B411" s="30" t="str">
        <x:v>无糖豆浆+梨</x:v>
      </x:c>
      <x:c r="C411" s="30" t="str">
        <x:v>FIXED_COMPOSITE_NO_DIRECT_SCALING</x:v>
      </x:c>
      <x:c r="D411" s="30" t="n">
        <x:v>1.5</x:v>
      </x:c>
      <x:c r="E411" s="30"/>
      <x:c r="F411" s="30"/>
      <x:c r="G411" s="30"/>
      <x:c r="H411" s="30"/>
      <x:c r="I411" s="30"/>
      <x:c r="J411" s="30"/>
      <x:c r="K411" s="30" t="str">
        <x:v>该档位不允许整组件直接缩放</x:v>
      </x:c>
      <x:c r="L411" s="76" t="b">
        <x:v>0</x:v>
      </x:c>
      <x:c r="M411" s="30" t="str">
        <x:v>改用其他标准组件或拆分为单食物对象后重算；禁止患者端显示该份数。</x:v>
      </x:c>
      <x:c r="N411" s="30" t="str">
        <x:f>IF(OR(J411="",I411=""),"",ROUND(J411/I411,0)*I411)</x:f>
      </x:c>
    </x:row>
    <x:row r="412">
      <x:c r="A412" s="30" t="str">
        <x:v>S004</x:v>
      </x:c>
      <x:c r="B412" s="30" t="str">
        <x:v>低脂奶+小香蕉</x:v>
      </x:c>
      <x:c r="C412" s="30" t="str">
        <x:v>FIXED_COMPOSITE_NO_DIRECT_SCALING</x:v>
      </x:c>
      <x:c r="D412" s="30" t="n">
        <x:v>0.5</x:v>
      </x:c>
      <x:c r="E412" s="30"/>
      <x:c r="F412" s="30"/>
      <x:c r="G412" s="30"/>
      <x:c r="H412" s="30"/>
      <x:c r="I412" s="30"/>
      <x:c r="J412" s="30"/>
      <x:c r="K412" s="30" t="str">
        <x:v>该档位不允许整组件直接缩放</x:v>
      </x:c>
      <x:c r="L412" s="76" t="b">
        <x:v>0</x:v>
      </x:c>
      <x:c r="M412" s="30" t="str">
        <x:v>改用其他标准组件或拆分为单食物对象后重算；禁止患者端显示该份数。</x:v>
      </x:c>
      <x:c r="N412" s="30" t="str">
        <x:f>IF(OR(J412="",I412=""),"",ROUND(J412/I412,0)*I412)</x:f>
      </x:c>
    </x:row>
    <x:row r="413">
      <x:c r="A413" s="30" t="str">
        <x:v>S004</x:v>
      </x:c>
      <x:c r="B413" s="30" t="str">
        <x:v>低脂奶+小香蕉</x:v>
      </x:c>
      <x:c r="C413" s="30" t="str">
        <x:v>FIXED_COMPOSITE_NO_DIRECT_SCALING</x:v>
      </x:c>
      <x:c r="D413" s="30" t="n">
        <x:v>0.75</x:v>
      </x:c>
      <x:c r="E413" s="30"/>
      <x:c r="F413" s="30"/>
      <x:c r="G413" s="30"/>
      <x:c r="H413" s="30"/>
      <x:c r="I413" s="30"/>
      <x:c r="J413" s="30"/>
      <x:c r="K413" s="30" t="str">
        <x:v>该档位不允许整组件直接缩放</x:v>
      </x:c>
      <x:c r="L413" s="76" t="b">
        <x:v>0</x:v>
      </x:c>
      <x:c r="M413" s="30" t="str">
        <x:v>改用其他标准组件或拆分为单食物对象后重算；禁止患者端显示该份数。</x:v>
      </x:c>
      <x:c r="N413" s="30" t="str">
        <x:f>IF(OR(J413="",I413=""),"",ROUND(J413/I413,0)*I413)</x:f>
      </x:c>
    </x:row>
    <x:row r="414">
      <x:c r="A414" s="30" t="str">
        <x:v>S004</x:v>
      </x:c>
      <x:c r="B414" s="30" t="str">
        <x:v>低脂奶+小香蕉</x:v>
      </x:c>
      <x:c r="C414" s="30" t="str">
        <x:v>FIXED_COMPOSITE_NO_DIRECT_SCALING</x:v>
      </x:c>
      <x:c r="D414" s="30" t="n">
        <x:v>1</x:v>
      </x:c>
      <x:c r="E414" s="30" t="str">
        <x:v>低脂牛奶</x:v>
      </x:c>
      <x:c r="F414" s="30" t="n">
        <x:v>200</x:v>
      </x:c>
      <x:c r="G414" s="30" t="str">
        <x:v>ml</x:v>
      </x:c>
      <x:c r="H414" s="30" t="str">
        <x:v>package_volume</x:v>
      </x:c>
      <x:c r="I414" s="30" t="n">
        <x:v>50</x:v>
      </x:c>
      <x:c r="J414" s="30" t="n">
        <x:v>200</x:v>
      </x:c>
      <x:c r="K414" s="30" t="str">
        <x:v>低脂牛奶200ml</x:v>
      </x:c>
      <x:c r="L414" s="76" t="b">
        <x:v>1</x:v>
      </x:c>
      <x:c r="M414" s="30" t="str">
        <x:v>已按MDT确认的Ingredient Master min/max/step执行化；执行量变化后必须重算营养。</x:v>
      </x:c>
      <x:c r="N414" s="30" t="n">
        <x:v>200</x:v>
      </x:c>
    </x:row>
    <x:row r="415">
      <x:c r="A415" s="30" t="str">
        <x:v>S004</x:v>
      </x:c>
      <x:c r="B415" s="30" t="str">
        <x:v>低脂奶+小香蕉</x:v>
      </x:c>
      <x:c r="C415" s="30" t="str">
        <x:v>FIXED_COMPOSITE_NO_DIRECT_SCALING</x:v>
      </x:c>
      <x:c r="D415" s="30" t="n">
        <x:v>1</x:v>
      </x:c>
      <x:c r="E415" s="30" t="str">
        <x:v>香蕉</x:v>
      </x:c>
      <x:c r="F415" s="30" t="n">
        <x:v>80</x:v>
      </x:c>
      <x:c r="G415" s="30" t="str">
        <x:v>g</x:v>
      </x:c>
      <x:c r="H415" s="30" t="str">
        <x:v>raw_edible_weight</x:v>
      </x:c>
      <x:c r="I415" s="30" t="n">
        <x:v>10</x:v>
      </x:c>
      <x:c r="J415" s="30" t="n">
        <x:v>80</x:v>
      </x:c>
      <x:c r="K415" s="30" t="str">
        <x:v>香蕉80g</x:v>
      </x:c>
      <x:c r="L415" s="76" t="b">
        <x:v>1</x:v>
      </x:c>
      <x:c r="M415" s="30" t="str">
        <x:v>已按MDT确认的Ingredient Master min/max/step执行化；执行量变化后必须重算营养。</x:v>
      </x:c>
      <x:c r="N415" s="30" t="n">
        <x:v>80</x:v>
      </x:c>
    </x:row>
    <x:row r="416">
      <x:c r="A416" s="30" t="str">
        <x:v>S004</x:v>
      </x:c>
      <x:c r="B416" s="30" t="str">
        <x:v>低脂奶+小香蕉</x:v>
      </x:c>
      <x:c r="C416" s="30" t="str">
        <x:v>FIXED_COMPOSITE_NO_DIRECT_SCALING</x:v>
      </x:c>
      <x:c r="D416" s="30" t="n">
        <x:v>1.25</x:v>
      </x:c>
      <x:c r="E416" s="30"/>
      <x:c r="F416" s="30"/>
      <x:c r="G416" s="30"/>
      <x:c r="H416" s="30"/>
      <x:c r="I416" s="30"/>
      <x:c r="J416" s="30"/>
      <x:c r="K416" s="30" t="str">
        <x:v>该档位不允许整组件直接缩放</x:v>
      </x:c>
      <x:c r="L416" s="76" t="b">
        <x:v>0</x:v>
      </x:c>
      <x:c r="M416" s="30" t="str">
        <x:v>改用其他标准组件或拆分为单食物对象后重算；禁止患者端显示该份数。</x:v>
      </x:c>
      <x:c r="N416" s="30" t="str">
        <x:f>IF(OR(J416="",I416=""),"",ROUND(J416/I416,0)*I416)</x:f>
      </x:c>
    </x:row>
    <x:row r="417">
      <x:c r="A417" s="30" t="str">
        <x:v>S004</x:v>
      </x:c>
      <x:c r="B417" s="30" t="str">
        <x:v>低脂奶+小香蕉</x:v>
      </x:c>
      <x:c r="C417" s="30" t="str">
        <x:v>FIXED_COMPOSITE_NO_DIRECT_SCALING</x:v>
      </x:c>
      <x:c r="D417" s="30" t="n">
        <x:v>1.5</x:v>
      </x:c>
      <x:c r="E417" s="30"/>
      <x:c r="F417" s="30"/>
      <x:c r="G417" s="30"/>
      <x:c r="H417" s="30"/>
      <x:c r="I417" s="30"/>
      <x:c r="J417" s="30"/>
      <x:c r="K417" s="30" t="str">
        <x:v>该档位不允许整组件直接缩放</x:v>
      </x:c>
      <x:c r="L417" s="76" t="b">
        <x:v>0</x:v>
      </x:c>
      <x:c r="M417" s="30" t="str">
        <x:v>改用其他标准组件或拆分为单食物对象后重算；禁止患者端显示该份数。</x:v>
      </x:c>
      <x:c r="N417" s="30" t="str">
        <x:f>IF(OR(J417="",I417=""),"",ROUND(J417/I417,0)*I417)</x:f>
      </x:c>
    </x:row>
    <x:row r="418">
      <x:c r="A418" s="30" t="str">
        <x:v>S005</x:v>
      </x:c>
      <x:c r="B418" s="30" t="str">
        <x:v>无糖酸奶+核桃</x:v>
      </x:c>
      <x:c r="C418" s="30" t="str">
        <x:v>FIXED_COMPOSITE_NO_DIRECT_SCALING</x:v>
      </x:c>
      <x:c r="D418" s="30" t="n">
        <x:v>0.5</x:v>
      </x:c>
      <x:c r="E418" s="30"/>
      <x:c r="F418" s="30"/>
      <x:c r="G418" s="30"/>
      <x:c r="H418" s="30"/>
      <x:c r="I418" s="30"/>
      <x:c r="J418" s="30"/>
      <x:c r="K418" s="30" t="str">
        <x:v>该档位不允许整组件直接缩放</x:v>
      </x:c>
      <x:c r="L418" s="76" t="b">
        <x:v>0</x:v>
      </x:c>
      <x:c r="M418" s="30" t="str">
        <x:v>改用其他标准组件或拆分为单食物对象后重算；禁止患者端显示该份数。</x:v>
      </x:c>
      <x:c r="N418" s="30" t="str">
        <x:f>IF(OR(J418="",I418=""),"",ROUND(J418/I418,0)*I418)</x:f>
      </x:c>
    </x:row>
    <x:row r="419">
      <x:c r="A419" s="30" t="str">
        <x:v>S005</x:v>
      </x:c>
      <x:c r="B419" s="30" t="str">
        <x:v>无糖酸奶+核桃</x:v>
      </x:c>
      <x:c r="C419" s="30" t="str">
        <x:v>FIXED_COMPOSITE_NO_DIRECT_SCALING</x:v>
      </x:c>
      <x:c r="D419" s="30" t="n">
        <x:v>0.75</x:v>
      </x:c>
      <x:c r="E419" s="30"/>
      <x:c r="F419" s="30"/>
      <x:c r="G419" s="30"/>
      <x:c r="H419" s="30"/>
      <x:c r="I419" s="30"/>
      <x:c r="J419" s="30"/>
      <x:c r="K419" s="30" t="str">
        <x:v>该档位不允许整组件直接缩放</x:v>
      </x:c>
      <x:c r="L419" s="76" t="b">
        <x:v>0</x:v>
      </x:c>
      <x:c r="M419" s="30" t="str">
        <x:v>改用其他标准组件或拆分为单食物对象后重算；禁止患者端显示该份数。</x:v>
      </x:c>
      <x:c r="N419" s="30" t="str">
        <x:f>IF(OR(J419="",I419=""),"",ROUND(J419/I419,0)*I419)</x:f>
      </x:c>
    </x:row>
    <x:row r="420">
      <x:c r="A420" s="30" t="str">
        <x:v>S005</x:v>
      </x:c>
      <x:c r="B420" s="30" t="str">
        <x:v>无糖酸奶+核桃</x:v>
      </x:c>
      <x:c r="C420" s="30" t="str">
        <x:v>FIXED_COMPOSITE_NO_DIRECT_SCALING</x:v>
      </x:c>
      <x:c r="D420" s="30" t="n">
        <x:v>1</x:v>
      </x:c>
      <x:c r="E420" s="30" t="str">
        <x:v>无糖酸奶</x:v>
      </x:c>
      <x:c r="F420" s="30" t="n">
        <x:v>150</x:v>
      </x:c>
      <x:c r="G420" s="30" t="str">
        <x:v>g</x:v>
      </x:c>
      <x:c r="H420" s="30" t="str">
        <x:v>package_net_weight</x:v>
      </x:c>
      <x:c r="I420" s="30" t="n">
        <x:v>50</x:v>
      </x:c>
      <x:c r="J420" s="30" t="n">
        <x:v>150</x:v>
      </x:c>
      <x:c r="K420" s="30" t="str">
        <x:v>无糖酸奶150g</x:v>
      </x:c>
      <x:c r="L420" s="76" t="b">
        <x:v>1</x:v>
      </x:c>
      <x:c r="M420" s="30" t="str">
        <x:v>按包装净含量g执行；产品标签来源待补；不得自动ml↔g换算。</x:v>
      </x:c>
      <x:c r="N420" s="30" t="n">
        <x:f>IF(OR(J420="",I420=""),"",ROUND(J420/I420,0)*I420)</x:f>
        <x:v>150</x:v>
      </x:c>
    </x:row>
    <x:row r="421">
      <x:c r="A421" s="30" t="str">
        <x:v>S005</x:v>
      </x:c>
      <x:c r="B421" s="30" t="str">
        <x:v>无糖酸奶+核桃</x:v>
      </x:c>
      <x:c r="C421" s="30" t="str">
        <x:v>FIXED_COMPOSITE_NO_DIRECT_SCALING</x:v>
      </x:c>
      <x:c r="D421" s="30" t="n">
        <x:v>1</x:v>
      </x:c>
      <x:c r="E421" s="30" t="str">
        <x:v>核桃</x:v>
      </x:c>
      <x:c r="F421" s="30" t="n">
        <x:v>10</x:v>
      </x:c>
      <x:c r="G421" s="30" t="str">
        <x:v>g</x:v>
      </x:c>
      <x:c r="H421" s="30" t="str">
        <x:v>edible_kernel_weight</x:v>
      </x:c>
      <x:c r="I421" s="30" t="n">
        <x:v>5</x:v>
      </x:c>
      <x:c r="J421" s="30" t="n">
        <x:v>10</x:v>
      </x:c>
      <x:c r="K421" s="30" t="str">
        <x:v>核桃10g</x:v>
      </x:c>
      <x:c r="L421" s="76" t="b">
        <x:v>1</x:v>
      </x:c>
      <x:c r="M421" s="30" t="str">
        <x:v>已按MDT确认的Ingredient Master min/max/step执行化；执行量变化后必须重算营养。</x:v>
      </x:c>
      <x:c r="N421" s="30" t="n">
        <x:v>10</x:v>
      </x:c>
    </x:row>
    <x:row r="422">
      <x:c r="A422" s="30" t="str">
        <x:v>S005</x:v>
      </x:c>
      <x:c r="B422" s="30" t="str">
        <x:v>无糖酸奶+核桃</x:v>
      </x:c>
      <x:c r="C422" s="30" t="str">
        <x:v>FIXED_COMPOSITE_NO_DIRECT_SCALING</x:v>
      </x:c>
      <x:c r="D422" s="30" t="n">
        <x:v>1.25</x:v>
      </x:c>
      <x:c r="E422" s="30"/>
      <x:c r="F422" s="30"/>
      <x:c r="G422" s="30"/>
      <x:c r="H422" s="30"/>
      <x:c r="I422" s="30"/>
      <x:c r="J422" s="30"/>
      <x:c r="K422" s="30" t="str">
        <x:v>该档位不允许整组件直接缩放</x:v>
      </x:c>
      <x:c r="L422" s="76" t="b">
        <x:v>0</x:v>
      </x:c>
      <x:c r="M422" s="30" t="str">
        <x:v>改用其他标准组件或拆分为单食物对象后重算；禁止患者端显示该份数。</x:v>
      </x:c>
      <x:c r="N422" s="30" t="str">
        <x:f>IF(OR(J422="",I422=""),"",ROUND(J422/I422,0)*I422)</x:f>
      </x:c>
    </x:row>
    <x:row r="423">
      <x:c r="A423" s="30" t="str">
        <x:v>S005</x:v>
      </x:c>
      <x:c r="B423" s="30" t="str">
        <x:v>无糖酸奶+核桃</x:v>
      </x:c>
      <x:c r="C423" s="30" t="str">
        <x:v>FIXED_COMPOSITE_NO_DIRECT_SCALING</x:v>
      </x:c>
      <x:c r="D423" s="30" t="n">
        <x:v>1.5</x:v>
      </x:c>
      <x:c r="E423" s="30"/>
      <x:c r="F423" s="30"/>
      <x:c r="G423" s="30"/>
      <x:c r="H423" s="30"/>
      <x:c r="I423" s="30"/>
      <x:c r="J423" s="30"/>
      <x:c r="K423" s="30" t="str">
        <x:v>该档位不允许整组件直接缩放</x:v>
      </x:c>
      <x:c r="L423" s="76" t="b">
        <x:v>0</x:v>
      </x:c>
      <x:c r="M423" s="30" t="str">
        <x:v>改用其他标准组件或拆分为单食物对象后重算；禁止患者端显示该份数。</x:v>
      </x:c>
      <x:c r="N423" s="30" t="str">
        <x:f>IF(OR(J423="",I423=""),"",ROUND(J423/I423,0)*I423)</x:f>
      </x:c>
    </x:row>
    <x:row r="424">
      <x:c r="A424" s="30" t="str">
        <x:v>S006</x:v>
      </x:c>
      <x:c r="B424" s="30" t="str">
        <x:v>低脂奶+橙</x:v>
      </x:c>
      <x:c r="C424" s="30" t="str">
        <x:v>FIXED_COMPOSITE_NO_DIRECT_SCALING</x:v>
      </x:c>
      <x:c r="D424" s="30" t="n">
        <x:v>0.5</x:v>
      </x:c>
      <x:c r="E424" s="30"/>
      <x:c r="F424" s="30"/>
      <x:c r="G424" s="30"/>
      <x:c r="H424" s="30"/>
      <x:c r="I424" s="30"/>
      <x:c r="J424" s="30"/>
      <x:c r="K424" s="30" t="str">
        <x:v>该档位不允许整组件直接缩放</x:v>
      </x:c>
      <x:c r="L424" s="76" t="b">
        <x:v>0</x:v>
      </x:c>
      <x:c r="M424" s="30" t="str">
        <x:v>改用其他标准组件或拆分为单食物对象后重算；禁止患者端显示该份数。</x:v>
      </x:c>
      <x:c r="N424" s="30" t="str">
        <x:f>IF(OR(J424="",I424=""),"",ROUND(J424/I424,0)*I424)</x:f>
      </x:c>
    </x:row>
    <x:row r="425">
      <x:c r="A425" s="30" t="str">
        <x:v>S006</x:v>
      </x:c>
      <x:c r="B425" s="30" t="str">
        <x:v>低脂奶+橙</x:v>
      </x:c>
      <x:c r="C425" s="30" t="str">
        <x:v>FIXED_COMPOSITE_NO_DIRECT_SCALING</x:v>
      </x:c>
      <x:c r="D425" s="30" t="n">
        <x:v>0.75</x:v>
      </x:c>
      <x:c r="E425" s="30"/>
      <x:c r="F425" s="30"/>
      <x:c r="G425" s="30"/>
      <x:c r="H425" s="30"/>
      <x:c r="I425" s="30"/>
      <x:c r="J425" s="30"/>
      <x:c r="K425" s="30" t="str">
        <x:v>该档位不允许整组件直接缩放</x:v>
      </x:c>
      <x:c r="L425" s="76" t="b">
        <x:v>0</x:v>
      </x:c>
      <x:c r="M425" s="30" t="str">
        <x:v>改用其他标准组件或拆分为单食物对象后重算；禁止患者端显示该份数。</x:v>
      </x:c>
      <x:c r="N425" s="30" t="str">
        <x:f>IF(OR(J425="",I425=""),"",ROUND(J425/I425,0)*I425)</x:f>
      </x:c>
    </x:row>
    <x:row r="426">
      <x:c r="A426" s="30" t="str">
        <x:v>S006</x:v>
      </x:c>
      <x:c r="B426" s="30" t="str">
        <x:v>低脂奶+橙</x:v>
      </x:c>
      <x:c r="C426" s="30" t="str">
        <x:v>FIXED_COMPOSITE_NO_DIRECT_SCALING</x:v>
      </x:c>
      <x:c r="D426" s="30" t="n">
        <x:v>1</x:v>
      </x:c>
      <x:c r="E426" s="30" t="str">
        <x:v>低脂牛奶</x:v>
      </x:c>
      <x:c r="F426" s="30" t="n">
        <x:v>200</x:v>
      </x:c>
      <x:c r="G426" s="30" t="str">
        <x:v>ml</x:v>
      </x:c>
      <x:c r="H426" s="30" t="str">
        <x:v>package_volume</x:v>
      </x:c>
      <x:c r="I426" s="30" t="n">
        <x:v>50</x:v>
      </x:c>
      <x:c r="J426" s="30" t="n">
        <x:v>200</x:v>
      </x:c>
      <x:c r="K426" s="30" t="str">
        <x:v>低脂牛奶200ml</x:v>
      </x:c>
      <x:c r="L426" s="76" t="b">
        <x:v>1</x:v>
      </x:c>
      <x:c r="M426" s="30" t="str">
        <x:v>已按MDT确认的Ingredient Master min/max/step执行化；执行量变化后必须重算营养。</x:v>
      </x:c>
      <x:c r="N426" s="30" t="n">
        <x:v>200</x:v>
      </x:c>
    </x:row>
    <x:row r="427">
      <x:c r="A427" s="30" t="str">
        <x:v>S006</x:v>
      </x:c>
      <x:c r="B427" s="30" t="str">
        <x:v>低脂奶+橙</x:v>
      </x:c>
      <x:c r="C427" s="30" t="str">
        <x:v>FIXED_COMPOSITE_NO_DIRECT_SCALING</x:v>
      </x:c>
      <x:c r="D427" s="30" t="n">
        <x:v>1</x:v>
      </x:c>
      <x:c r="E427" s="30" t="str">
        <x:v>橙</x:v>
      </x:c>
      <x:c r="F427" s="30" t="n">
        <x:v>150</x:v>
      </x:c>
      <x:c r="G427" s="30" t="str">
        <x:v>g</x:v>
      </x:c>
      <x:c r="H427" s="30" t="str">
        <x:v>raw_edible_weight</x:v>
      </x:c>
      <x:c r="I427" s="30" t="n">
        <x:v>10</x:v>
      </x:c>
      <x:c r="J427" s="30" t="n">
        <x:v>150</x:v>
      </x:c>
      <x:c r="K427" s="30" t="str">
        <x:v>橙150g</x:v>
      </x:c>
      <x:c r="L427" s="76" t="b">
        <x:v>1</x:v>
      </x:c>
      <x:c r="M427" s="30" t="str">
        <x:v>已按MDT确认的Ingredient Master min/max/step执行化；执行量变化后必须重算营养。</x:v>
      </x:c>
      <x:c r="N427" s="30" t="n">
        <x:v>150</x:v>
      </x:c>
    </x:row>
    <x:row r="428">
      <x:c r="A428" s="30" t="str">
        <x:v>S006</x:v>
      </x:c>
      <x:c r="B428" s="30" t="str">
        <x:v>低脂奶+橙</x:v>
      </x:c>
      <x:c r="C428" s="30" t="str">
        <x:v>FIXED_COMPOSITE_NO_DIRECT_SCALING</x:v>
      </x:c>
      <x:c r="D428" s="30" t="n">
        <x:v>1.25</x:v>
      </x:c>
      <x:c r="E428" s="30"/>
      <x:c r="F428" s="30"/>
      <x:c r="G428" s="30"/>
      <x:c r="H428" s="30"/>
      <x:c r="I428" s="30"/>
      <x:c r="J428" s="30"/>
      <x:c r="K428" s="30" t="str">
        <x:v>该档位不允许整组件直接缩放</x:v>
      </x:c>
      <x:c r="L428" s="76" t="b">
        <x:v>0</x:v>
      </x:c>
      <x:c r="M428" s="30" t="str">
        <x:v>改用其他标准组件或拆分为单食物对象后重算；禁止患者端显示该份数。</x:v>
      </x:c>
      <x:c r="N428" s="30" t="str">
        <x:f>IF(OR(J428="",I428=""),"",ROUND(J428/I428,0)*I428)</x:f>
      </x:c>
    </x:row>
    <x:row r="429">
      <x:c r="A429" s="30" t="str">
        <x:v>S006</x:v>
      </x:c>
      <x:c r="B429" s="30" t="str">
        <x:v>低脂奶+橙</x:v>
      </x:c>
      <x:c r="C429" s="30" t="str">
        <x:v>FIXED_COMPOSITE_NO_DIRECT_SCALING</x:v>
      </x:c>
      <x:c r="D429" s="30" t="n">
        <x:v>1.5</x:v>
      </x:c>
      <x:c r="E429" s="30"/>
      <x:c r="F429" s="30"/>
      <x:c r="G429" s="30"/>
      <x:c r="H429" s="30"/>
      <x:c r="I429" s="30"/>
      <x:c r="J429" s="30"/>
      <x:c r="K429" s="30" t="str">
        <x:v>该档位不允许整组件直接缩放</x:v>
      </x:c>
      <x:c r="L429" s="76" t="b">
        <x:v>0</x:v>
      </x:c>
      <x:c r="M429" s="30" t="str">
        <x:v>改用其他标准组件或拆分为单食物对象后重算；禁止患者端显示该份数。</x:v>
      </x:c>
      <x:c r="N429" s="30" t="str">
        <x:f>IF(OR(J429="",I429=""),"",ROUND(J429/I429,0)*I429)</x:f>
      </x:c>
    </x:row>
    <x:row r="430">
      <x:c r="A430" s="30" t="str">
        <x:v>S007</x:v>
      </x:c>
      <x:c r="B430" s="30" t="str">
        <x:v>苹果+杏仁</x:v>
      </x:c>
      <x:c r="C430" s="30" t="str">
        <x:v>FIXED_COMPOSITE_NO_DIRECT_SCALING</x:v>
      </x:c>
      <x:c r="D430" s="30" t="n">
        <x:v>0.5</x:v>
      </x:c>
      <x:c r="E430" s="30"/>
      <x:c r="F430" s="30"/>
      <x:c r="G430" s="30"/>
      <x:c r="H430" s="30"/>
      <x:c r="I430" s="30"/>
      <x:c r="J430" s="30"/>
      <x:c r="K430" s="30" t="str">
        <x:v>该档位不允许整组件直接缩放</x:v>
      </x:c>
      <x:c r="L430" s="76" t="b">
        <x:v>0</x:v>
      </x:c>
      <x:c r="M430" s="30" t="str">
        <x:v>改用其他标准组件或拆分为单食物对象后重算；禁止患者端显示该份数。</x:v>
      </x:c>
      <x:c r="N430" s="30" t="str">
        <x:f>IF(OR(J430="",I430=""),"",ROUND(J430/I430,0)*I430)</x:f>
      </x:c>
    </x:row>
    <x:row r="431">
      <x:c r="A431" s="30" t="str">
        <x:v>S007</x:v>
      </x:c>
      <x:c r="B431" s="30" t="str">
        <x:v>苹果+杏仁</x:v>
      </x:c>
      <x:c r="C431" s="30" t="str">
        <x:v>FIXED_COMPOSITE_NO_DIRECT_SCALING</x:v>
      </x:c>
      <x:c r="D431" s="30" t="n">
        <x:v>0.75</x:v>
      </x:c>
      <x:c r="E431" s="30"/>
      <x:c r="F431" s="30"/>
      <x:c r="G431" s="30"/>
      <x:c r="H431" s="30"/>
      <x:c r="I431" s="30"/>
      <x:c r="J431" s="30"/>
      <x:c r="K431" s="30" t="str">
        <x:v>该档位不允许整组件直接缩放</x:v>
      </x:c>
      <x:c r="L431" s="76" t="b">
        <x:v>0</x:v>
      </x:c>
      <x:c r="M431" s="30" t="str">
        <x:v>改用其他标准组件或拆分为单食物对象后重算；禁止患者端显示该份数。</x:v>
      </x:c>
      <x:c r="N431" s="30" t="str">
        <x:f>IF(OR(J431="",I431=""),"",ROUND(J431/I431,0)*I431)</x:f>
      </x:c>
    </x:row>
    <x:row r="432">
      <x:c r="A432" s="30" t="str">
        <x:v>S007</x:v>
      </x:c>
      <x:c r="B432" s="30" t="str">
        <x:v>苹果+杏仁</x:v>
      </x:c>
      <x:c r="C432" s="30" t="str">
        <x:v>FIXED_COMPOSITE_NO_DIRECT_SCALING</x:v>
      </x:c>
      <x:c r="D432" s="30" t="n">
        <x:v>1</x:v>
      </x:c>
      <x:c r="E432" s="30" t="str">
        <x:v>苹果</x:v>
      </x:c>
      <x:c r="F432" s="30" t="n">
        <x:v>150</x:v>
      </x:c>
      <x:c r="G432" s="30" t="str">
        <x:v>g</x:v>
      </x:c>
      <x:c r="H432" s="30" t="str">
        <x:v>raw_edible_weight</x:v>
      </x:c>
      <x:c r="I432" s="30" t="n">
        <x:v>10</x:v>
      </x:c>
      <x:c r="J432" s="30" t="n">
        <x:v>150</x:v>
      </x:c>
      <x:c r="K432" s="30" t="str">
        <x:v>苹果150g</x:v>
      </x:c>
      <x:c r="L432" s="76" t="b">
        <x:v>1</x:v>
      </x:c>
      <x:c r="M432" s="30" t="str">
        <x:v>已按MDT确认的Ingredient Master min/max/step执行化；执行量变化后必须重算营养。</x:v>
      </x:c>
      <x:c r="N432" s="30" t="n">
        <x:v>150</x:v>
      </x:c>
    </x:row>
    <x:row r="433">
      <x:c r="A433" s="30" t="str">
        <x:v>S007</x:v>
      </x:c>
      <x:c r="B433" s="30" t="str">
        <x:v>苹果+杏仁</x:v>
      </x:c>
      <x:c r="C433" s="30" t="str">
        <x:v>FIXED_COMPOSITE_NO_DIRECT_SCALING</x:v>
      </x:c>
      <x:c r="D433" s="30" t="n">
        <x:v>1</x:v>
      </x:c>
      <x:c r="E433" s="30" t="str">
        <x:v>杏仁</x:v>
      </x:c>
      <x:c r="F433" s="30" t="n">
        <x:v>10</x:v>
      </x:c>
      <x:c r="G433" s="30" t="str">
        <x:v>g</x:v>
      </x:c>
      <x:c r="H433" s="30" t="str">
        <x:v>edible_weight</x:v>
      </x:c>
      <x:c r="I433" s="30" t="n">
        <x:v>5</x:v>
      </x:c>
      <x:c r="J433" s="30" t="n">
        <x:v>10</x:v>
      </x:c>
      <x:c r="K433" s="30" t="str">
        <x:v>杏仁10g</x:v>
      </x:c>
      <x:c r="L433" s="76" t="b">
        <x:v>1</x:v>
      </x:c>
      <x:c r="M433" s="30" t="str">
        <x:v>已按MDT确认的Ingredient Master min/max/step执行化；执行量变化后必须重算营养。</x:v>
      </x:c>
      <x:c r="N433" s="30" t="n">
        <x:v>10</x:v>
      </x:c>
    </x:row>
    <x:row r="434">
      <x:c r="A434" s="30" t="str">
        <x:v>S007</x:v>
      </x:c>
      <x:c r="B434" s="30" t="str">
        <x:v>苹果+杏仁</x:v>
      </x:c>
      <x:c r="C434" s="30" t="str">
        <x:v>FIXED_COMPOSITE_NO_DIRECT_SCALING</x:v>
      </x:c>
      <x:c r="D434" s="30" t="n">
        <x:v>1.25</x:v>
      </x:c>
      <x:c r="E434" s="30"/>
      <x:c r="F434" s="30"/>
      <x:c r="G434" s="30"/>
      <x:c r="H434" s="30"/>
      <x:c r="I434" s="30"/>
      <x:c r="J434" s="30"/>
      <x:c r="K434" s="30" t="str">
        <x:v>该档位不允许整组件直接缩放</x:v>
      </x:c>
      <x:c r="L434" s="76" t="b">
        <x:v>0</x:v>
      </x:c>
      <x:c r="M434" s="30" t="str">
        <x:v>改用其他标准组件或拆分为单食物对象后重算；禁止患者端显示该份数。</x:v>
      </x:c>
      <x:c r="N434" s="30" t="str">
        <x:f>IF(OR(J434="",I434=""),"",ROUND(J434/I434,0)*I434)</x:f>
      </x:c>
    </x:row>
    <x:row r="435">
      <x:c r="A435" s="30" t="str">
        <x:v>S007</x:v>
      </x:c>
      <x:c r="B435" s="30" t="str">
        <x:v>苹果+杏仁</x:v>
      </x:c>
      <x:c r="C435" s="30" t="str">
        <x:v>FIXED_COMPOSITE_NO_DIRECT_SCALING</x:v>
      </x:c>
      <x:c r="D435" s="30" t="n">
        <x:v>1.5</x:v>
      </x:c>
      <x:c r="E435" s="30"/>
      <x:c r="F435" s="30"/>
      <x:c r="G435" s="30"/>
      <x:c r="H435" s="30"/>
      <x:c r="I435" s="30"/>
      <x:c r="J435" s="30"/>
      <x:c r="K435" s="30" t="str">
        <x:v>该档位不允许整组件直接缩放</x:v>
      </x:c>
      <x:c r="L435" s="76" t="b">
        <x:v>0</x:v>
      </x:c>
      <x:c r="M435" s="30" t="str">
        <x:v>改用其他标准组件或拆分为单食物对象后重算；禁止患者端显示该份数。</x:v>
      </x:c>
      <x:c r="N435" s="30" t="str">
        <x:f>IF(OR(J435="",I435=""),"",ROUND(J435/I435,0)*I435)</x:f>
      </x:c>
    </x:row>
    <x:row r="436">
      <x:c r="A436" s="30" t="str">
        <x:v>S008</x:v>
      </x:c>
      <x:c r="B436" s="30" t="str">
        <x:v>鲜玉米+低脂奶</x:v>
      </x:c>
      <x:c r="C436" s="30" t="str">
        <x:v>FIXED_COMPOSITE_NO_DIRECT_SCALING</x:v>
      </x:c>
      <x:c r="D436" s="30" t="n">
        <x:v>0.5</x:v>
      </x:c>
      <x:c r="E436" s="30"/>
      <x:c r="F436" s="30"/>
      <x:c r="G436" s="30"/>
      <x:c r="H436" s="30"/>
      <x:c r="I436" s="30"/>
      <x:c r="J436" s="30"/>
      <x:c r="K436" s="30" t="str">
        <x:v>该档位不允许整组件直接缩放</x:v>
      </x:c>
      <x:c r="L436" s="76" t="b">
        <x:v>0</x:v>
      </x:c>
      <x:c r="M436" s="30" t="str">
        <x:v>改用其他标准组件或拆分为单食物对象后重算；禁止患者端显示该份数。</x:v>
      </x:c>
      <x:c r="N436" s="30" t="str">
        <x:f>IF(OR(J436="",I436=""),"",ROUND(J436/I436,0)*I436)</x:f>
      </x:c>
    </x:row>
    <x:row r="437">
      <x:c r="A437" s="30" t="str">
        <x:v>S008</x:v>
      </x:c>
      <x:c r="B437" s="30" t="str">
        <x:v>鲜玉米+低脂奶</x:v>
      </x:c>
      <x:c r="C437" s="30" t="str">
        <x:v>FIXED_COMPOSITE_NO_DIRECT_SCALING</x:v>
      </x:c>
      <x:c r="D437" s="30" t="n">
        <x:v>0.75</x:v>
      </x:c>
      <x:c r="E437" s="30"/>
      <x:c r="F437" s="30"/>
      <x:c r="G437" s="30"/>
      <x:c r="H437" s="30"/>
      <x:c r="I437" s="30"/>
      <x:c r="J437" s="30"/>
      <x:c r="K437" s="30" t="str">
        <x:v>该档位不允许整组件直接缩放</x:v>
      </x:c>
      <x:c r="L437" s="76" t="b">
        <x:v>0</x:v>
      </x:c>
      <x:c r="M437" s="30" t="str">
        <x:v>改用其他标准组件或拆分为单食物对象后重算；禁止患者端显示该份数。</x:v>
      </x:c>
      <x:c r="N437" s="30" t="str">
        <x:f>IF(OR(J437="",I437=""),"",ROUND(J437/I437,0)*I437)</x:f>
      </x:c>
    </x:row>
    <x:row r="438">
      <x:c r="A438" s="30" t="str">
        <x:v>S008</x:v>
      </x:c>
      <x:c r="B438" s="30" t="str">
        <x:v>鲜玉米+低脂奶</x:v>
      </x:c>
      <x:c r="C438" s="30" t="str">
        <x:v>FIXED_COMPOSITE_NO_DIRECT_SCALING</x:v>
      </x:c>
      <x:c r="D438" s="30" t="n">
        <x:v>1</x:v>
      </x:c>
      <x:c r="E438" s="30" t="str">
        <x:v>玉米鲜</x:v>
      </x:c>
      <x:c r="F438" s="30" t="n">
        <x:v>100</x:v>
      </x:c>
      <x:c r="G438" s="30" t="str">
        <x:v>g</x:v>
      </x:c>
      <x:c r="H438" s="30" t="str">
        <x:v>raw_edible_weight</x:v>
      </x:c>
      <x:c r="I438" s="30" t="n">
        <x:v>10</x:v>
      </x:c>
      <x:c r="J438" s="30" t="n">
        <x:v>100</x:v>
      </x:c>
      <x:c r="K438" s="30" t="str">
        <x:v>玉米鲜100g</x:v>
      </x:c>
      <x:c r="L438" s="76" t="b">
        <x:v>1</x:v>
      </x:c>
      <x:c r="M438" s="30" t="str">
        <x:v>已按MDT确认的Ingredient Master min/max/step执行化；执行量变化后必须重算营养。</x:v>
      </x:c>
      <x:c r="N438" s="30" t="n">
        <x:v>100</x:v>
      </x:c>
    </x:row>
    <x:row r="439">
      <x:c r="A439" s="30" t="str">
        <x:v>S008</x:v>
      </x:c>
      <x:c r="B439" s="30" t="str">
        <x:v>鲜玉米+低脂奶</x:v>
      </x:c>
      <x:c r="C439" s="30" t="str">
        <x:v>FIXED_COMPOSITE_NO_DIRECT_SCALING</x:v>
      </x:c>
      <x:c r="D439" s="30" t="n">
        <x:v>1</x:v>
      </x:c>
      <x:c r="E439" s="30" t="str">
        <x:v>低脂牛奶</x:v>
      </x:c>
      <x:c r="F439" s="30" t="n">
        <x:v>150</x:v>
      </x:c>
      <x:c r="G439" s="30" t="str">
        <x:v>ml</x:v>
      </x:c>
      <x:c r="H439" s="30" t="str">
        <x:v>package_volume</x:v>
      </x:c>
      <x:c r="I439" s="30" t="n">
        <x:v>50</x:v>
      </x:c>
      <x:c r="J439" s="30" t="n">
        <x:v>150</x:v>
      </x:c>
      <x:c r="K439" s="30" t="str">
        <x:v>低脂牛奶150ml</x:v>
      </x:c>
      <x:c r="L439" s="76" t="b">
        <x:v>1</x:v>
      </x:c>
      <x:c r="M439" s="30" t="str">
        <x:v>已按MDT确认的Ingredient Master min/max/step执行化；执行量变化后必须重算营养。</x:v>
      </x:c>
      <x:c r="N439" s="30" t="n">
        <x:v>150</x:v>
      </x:c>
    </x:row>
    <x:row r="440">
      <x:c r="A440" s="30" t="str">
        <x:v>S008</x:v>
      </x:c>
      <x:c r="B440" s="30" t="str">
        <x:v>鲜玉米+低脂奶</x:v>
      </x:c>
      <x:c r="C440" s="30" t="str">
        <x:v>FIXED_COMPOSITE_NO_DIRECT_SCALING</x:v>
      </x:c>
      <x:c r="D440" s="30" t="n">
        <x:v>1.25</x:v>
      </x:c>
      <x:c r="E440" s="30"/>
      <x:c r="F440" s="30"/>
      <x:c r="G440" s="30"/>
      <x:c r="H440" s="30"/>
      <x:c r="I440" s="30"/>
      <x:c r="J440" s="30"/>
      <x:c r="K440" s="30" t="str">
        <x:v>该档位不允许整组件直接缩放</x:v>
      </x:c>
      <x:c r="L440" s="76" t="b">
        <x:v>0</x:v>
      </x:c>
      <x:c r="M440" s="30" t="str">
        <x:v>改用其他标准组件或拆分为单食物对象后重算；禁止患者端显示该份数。</x:v>
      </x:c>
      <x:c r="N440" s="30" t="str">
        <x:f>IF(OR(J440="",I440=""),"",ROUND(J440/I440,0)*I440)</x:f>
      </x:c>
    </x:row>
    <x:row r="441">
      <x:c r="A441" s="30" t="str">
        <x:v>S008</x:v>
      </x:c>
      <x:c r="B441" s="30" t="str">
        <x:v>鲜玉米+低脂奶</x:v>
      </x:c>
      <x:c r="C441" s="30" t="str">
        <x:v>FIXED_COMPOSITE_NO_DIRECT_SCALING</x:v>
      </x:c>
      <x:c r="D441" s="30" t="n">
        <x:v>1.5</x:v>
      </x:c>
      <x:c r="E441" s="30"/>
      <x:c r="F441" s="30"/>
      <x:c r="G441" s="30"/>
      <x:c r="H441" s="30"/>
      <x:c r="I441" s="30"/>
      <x:c r="J441" s="30"/>
      <x:c r="K441" s="30" t="str">
        <x:v>该档位不允许整组件直接缩放</x:v>
      </x:c>
      <x:c r="L441" s="76" t="b">
        <x:v>0</x:v>
      </x:c>
      <x:c r="M441" s="30" t="str">
        <x:v>改用其他标准组件或拆分为单食物对象后重算；禁止患者端显示该份数。</x:v>
      </x:c>
      <x:c r="N441" s="30" t="str">
        <x:f>IF(OR(J441="",I441=""),"",ROUND(J441/I441,0)*I441)</x:f>
      </x:c>
    </x:row>
    <x:row r="442">
      <x:c r="A442" s="30" t="str">
        <x:v>S009</x:v>
      </x:c>
      <x:c r="B442" s="30" t="str">
        <x:v>水煮蛋+小番茄</x:v>
      </x:c>
      <x:c r="C442" s="30" t="str">
        <x:v>FIXED_COMPOSITE_NO_DIRECT_SCALING</x:v>
      </x:c>
      <x:c r="D442" s="30" t="n">
        <x:v>0.5</x:v>
      </x:c>
      <x:c r="E442" s="30"/>
      <x:c r="F442" s="30"/>
      <x:c r="G442" s="30"/>
      <x:c r="H442" s="30"/>
      <x:c r="I442" s="30"/>
      <x:c r="J442" s="30"/>
      <x:c r="K442" s="30" t="str">
        <x:v>该档位不允许整组件直接缩放</x:v>
      </x:c>
      <x:c r="L442" s="76" t="b">
        <x:v>0</x:v>
      </x:c>
      <x:c r="M442" s="30" t="str">
        <x:v>改用其他标准组件或拆分为单食物对象后重算；禁止患者端显示该份数。</x:v>
      </x:c>
      <x:c r="N442" s="30" t="str">
        <x:f>IF(OR(J442="",I442=""),"",ROUND(J442/I442,0)*I442)</x:f>
      </x:c>
    </x:row>
    <x:row r="443">
      <x:c r="A443" s="30" t="str">
        <x:v>S009</x:v>
      </x:c>
      <x:c r="B443" s="30" t="str">
        <x:v>水煮蛋+小番茄</x:v>
      </x:c>
      <x:c r="C443" s="30" t="str">
        <x:v>FIXED_COMPOSITE_NO_DIRECT_SCALING</x:v>
      </x:c>
      <x:c r="D443" s="30" t="n">
        <x:v>0.75</x:v>
      </x:c>
      <x:c r="E443" s="30"/>
      <x:c r="F443" s="30"/>
      <x:c r="G443" s="30"/>
      <x:c r="H443" s="30"/>
      <x:c r="I443" s="30"/>
      <x:c r="J443" s="30"/>
      <x:c r="K443" s="30" t="str">
        <x:v>该档位不允许整组件直接缩放</x:v>
      </x:c>
      <x:c r="L443" s="76" t="b">
        <x:v>0</x:v>
      </x:c>
      <x:c r="M443" s="30" t="str">
        <x:v>改用其他标准组件或拆分为单食物对象后重算；禁止患者端显示该份数。</x:v>
      </x:c>
      <x:c r="N443" s="30" t="str">
        <x:f>IF(OR(J443="",I443=""),"",ROUND(J443/I443,0)*I443)</x:f>
      </x:c>
    </x:row>
    <x:row r="444">
      <x:c r="A444" s="30" t="str">
        <x:v>S009</x:v>
      </x:c>
      <x:c r="B444" s="30" t="str">
        <x:v>水煮蛋+小番茄</x:v>
      </x:c>
      <x:c r="C444" s="30" t="str">
        <x:v>FIXED_COMPOSITE_NO_DIRECT_SCALING</x:v>
      </x:c>
      <x:c r="D444" s="30" t="n">
        <x:v>1</x:v>
      </x:c>
      <x:c r="E444" s="30" t="str">
        <x:v>鸡蛋</x:v>
      </x:c>
      <x:c r="F444" s="30" t="n">
        <x:v>50</x:v>
      </x:c>
      <x:c r="G444" s="30" t="str">
        <x:v>g</x:v>
      </x:c>
      <x:c r="H444" s="30" t="str">
        <x:v>whole_unit + edible_weight</x:v>
      </x:c>
      <x:c r="I444" s="30" t="n">
        <x:v>50</x:v>
      </x:c>
      <x:c r="J444" s="30" t="n">
        <x:v>50</x:v>
      </x:c>
      <x:c r="K444" s="30" t="str">
        <x:v>鸡蛋1个（约50g可食部）</x:v>
      </x:c>
      <x:c r="L444" s="76" t="b">
        <x:v>1</x:v>
      </x:c>
      <x:c r="M444" s="30" t="str">
        <x:v>已按MDT确认的Ingredient Master min/max/step执行化；执行量变化后必须重算营养。</x:v>
      </x:c>
      <x:c r="N444" s="30" t="n">
        <x:v>50</x:v>
      </x:c>
    </x:row>
    <x:row r="445">
      <x:c r="A445" s="30" t="str">
        <x:v>S009</x:v>
      </x:c>
      <x:c r="B445" s="30" t="str">
        <x:v>水煮蛋+小番茄</x:v>
      </x:c>
      <x:c r="C445" s="30" t="str">
        <x:v>FIXED_COMPOSITE_NO_DIRECT_SCALING</x:v>
      </x:c>
      <x:c r="D445" s="30" t="n">
        <x:v>1</x:v>
      </x:c>
      <x:c r="E445" s="30" t="str">
        <x:v>番茄</x:v>
      </x:c>
      <x:c r="F445" s="30" t="n">
        <x:v>150</x:v>
      </x:c>
      <x:c r="G445" s="30" t="str">
        <x:v>g</x:v>
      </x:c>
      <x:c r="H445" s="30" t="str">
        <x:v>raw_edible_weight</x:v>
      </x:c>
      <x:c r="I445" s="30" t="n">
        <x:v>10</x:v>
      </x:c>
      <x:c r="J445" s="30" t="n">
        <x:v>150</x:v>
      </x:c>
      <x:c r="K445" s="30" t="str">
        <x:v>番茄150g</x:v>
      </x:c>
      <x:c r="L445" s="76" t="b">
        <x:v>1</x:v>
      </x:c>
      <x:c r="M445" s="30" t="str">
        <x:v>已按MDT确认的Ingredient Master min/max/step执行化；执行量变化后必须重算营养。</x:v>
      </x:c>
      <x:c r="N445" s="30" t="n">
        <x:v>150</x:v>
      </x:c>
    </x:row>
    <x:row r="446">
      <x:c r="A446" s="30" t="str">
        <x:v>S009</x:v>
      </x:c>
      <x:c r="B446" s="30" t="str">
        <x:v>水煮蛋+小番茄</x:v>
      </x:c>
      <x:c r="C446" s="30" t="str">
        <x:v>FIXED_COMPOSITE_NO_DIRECT_SCALING</x:v>
      </x:c>
      <x:c r="D446" s="30" t="n">
        <x:v>1.25</x:v>
      </x:c>
      <x:c r="E446" s="30"/>
      <x:c r="F446" s="30"/>
      <x:c r="G446" s="30"/>
      <x:c r="H446" s="30"/>
      <x:c r="I446" s="30"/>
      <x:c r="J446" s="30"/>
      <x:c r="K446" s="30" t="str">
        <x:v>该档位不允许整组件直接缩放</x:v>
      </x:c>
      <x:c r="L446" s="76" t="b">
        <x:v>0</x:v>
      </x:c>
      <x:c r="M446" s="30" t="str">
        <x:v>改用其他标准组件或拆分为单食物对象后重算；禁止患者端显示该份数。</x:v>
      </x:c>
      <x:c r="N446" s="30" t="str">
        <x:f>IF(OR(J446="",I446=""),"",ROUND(J446/I446,0)*I446)</x:f>
      </x:c>
    </x:row>
    <x:row r="447">
      <x:c r="A447" s="30" t="str">
        <x:v>S009</x:v>
      </x:c>
      <x:c r="B447" s="30" t="str">
        <x:v>水煮蛋+小番茄</x:v>
      </x:c>
      <x:c r="C447" s="30" t="str">
        <x:v>FIXED_COMPOSITE_NO_DIRECT_SCALING</x:v>
      </x:c>
      <x:c r="D447" s="30" t="n">
        <x:v>1.5</x:v>
      </x:c>
      <x:c r="E447" s="30"/>
      <x:c r="F447" s="30"/>
      <x:c r="G447" s="30"/>
      <x:c r="H447" s="30"/>
      <x:c r="I447" s="30"/>
      <x:c r="J447" s="30"/>
      <x:c r="K447" s="30" t="str">
        <x:v>该档位不允许整组件直接缩放</x:v>
      </x:c>
      <x:c r="L447" s="76" t="b">
        <x:v>0</x:v>
      </x:c>
      <x:c r="M447" s="30" t="str">
        <x:v>改用其他标准组件或拆分为单食物对象后重算；禁止患者端显示该份数。</x:v>
      </x:c>
      <x:c r="N447" s="30" t="str">
        <x:f>IF(OR(J447="",I447=""),"",ROUND(J447/I447,0)*I447)</x:f>
      </x:c>
    </x:row>
    <x:row r="448">
      <x:c r="A448" s="30" t="str">
        <x:v>S010</x:v>
      </x:c>
      <x:c r="B448" s="30" t="str">
        <x:v>猕猴桃+无糖酸奶</x:v>
      </x:c>
      <x:c r="C448" s="30" t="str">
        <x:v>FIXED_COMPOSITE_NO_DIRECT_SCALING</x:v>
      </x:c>
      <x:c r="D448" s="30" t="n">
        <x:v>0.5</x:v>
      </x:c>
      <x:c r="E448" s="30"/>
      <x:c r="F448" s="30"/>
      <x:c r="G448" s="30"/>
      <x:c r="H448" s="30"/>
      <x:c r="I448" s="30"/>
      <x:c r="J448" s="30"/>
      <x:c r="K448" s="30" t="str">
        <x:v>该档位不允许整组件直接缩放</x:v>
      </x:c>
      <x:c r="L448" s="76" t="b">
        <x:v>0</x:v>
      </x:c>
      <x:c r="M448" s="30" t="str">
        <x:v>改用其他标准组件或拆分为单食物对象后重算；禁止患者端显示该份数。</x:v>
      </x:c>
      <x:c r="N448" s="30" t="str">
        <x:f>IF(OR(J448="",I448=""),"",ROUND(J448/I448,0)*I448)</x:f>
      </x:c>
    </x:row>
    <x:row r="449">
      <x:c r="A449" s="30" t="str">
        <x:v>S010</x:v>
      </x:c>
      <x:c r="B449" s="30" t="str">
        <x:v>猕猴桃+无糖酸奶</x:v>
      </x:c>
      <x:c r="C449" s="30" t="str">
        <x:v>FIXED_COMPOSITE_NO_DIRECT_SCALING</x:v>
      </x:c>
      <x:c r="D449" s="30" t="n">
        <x:v>0.75</x:v>
      </x:c>
      <x:c r="E449" s="30"/>
      <x:c r="F449" s="30"/>
      <x:c r="G449" s="30"/>
      <x:c r="H449" s="30"/>
      <x:c r="I449" s="30"/>
      <x:c r="J449" s="30"/>
      <x:c r="K449" s="30" t="str">
        <x:v>该档位不允许整组件直接缩放</x:v>
      </x:c>
      <x:c r="L449" s="76" t="b">
        <x:v>0</x:v>
      </x:c>
      <x:c r="M449" s="30" t="str">
        <x:v>改用其他标准组件或拆分为单食物对象后重算；禁止患者端显示该份数。</x:v>
      </x:c>
      <x:c r="N449" s="30" t="str">
        <x:f>IF(OR(J449="",I449=""),"",ROUND(J449/I449,0)*I449)</x:f>
      </x:c>
    </x:row>
    <x:row r="450">
      <x:c r="A450" s="30" t="str">
        <x:v>S010</x:v>
      </x:c>
      <x:c r="B450" s="30" t="str">
        <x:v>猕猴桃+无糖酸奶</x:v>
      </x:c>
      <x:c r="C450" s="30" t="str">
        <x:v>FIXED_COMPOSITE_NO_DIRECT_SCALING</x:v>
      </x:c>
      <x:c r="D450" s="30" t="n">
        <x:v>1</x:v>
      </x:c>
      <x:c r="E450" s="30" t="str">
        <x:v>猕猴桃</x:v>
      </x:c>
      <x:c r="F450" s="30" t="n">
        <x:v>100</x:v>
      </x:c>
      <x:c r="G450" s="30" t="str">
        <x:v>g</x:v>
      </x:c>
      <x:c r="H450" s="30" t="str">
        <x:v>raw_edible_weight</x:v>
      </x:c>
      <x:c r="I450" s="30" t="n">
        <x:v>10</x:v>
      </x:c>
      <x:c r="J450" s="30" t="n">
        <x:v>100</x:v>
      </x:c>
      <x:c r="K450" s="30" t="str">
        <x:v>猕猴桃100g</x:v>
      </x:c>
      <x:c r="L450" s="76" t="b">
        <x:v>1</x:v>
      </x:c>
      <x:c r="M450" s="30" t="str">
        <x:v>已按MDT确认的Ingredient Master min/max/step执行化；执行量变化后必须重算营养。</x:v>
      </x:c>
      <x:c r="N450" s="30" t="n">
        <x:v>100</x:v>
      </x:c>
    </x:row>
    <x:row r="451">
      <x:c r="A451" s="30" t="str">
        <x:v>S010</x:v>
      </x:c>
      <x:c r="B451" s="30" t="str">
        <x:v>猕猴桃+无糖酸奶</x:v>
      </x:c>
      <x:c r="C451" s="30" t="str">
        <x:v>FIXED_COMPOSITE_NO_DIRECT_SCALING</x:v>
      </x:c>
      <x:c r="D451" s="30" t="n">
        <x:v>1</x:v>
      </x:c>
      <x:c r="E451" s="30" t="str">
        <x:v>无糖酸奶</x:v>
      </x:c>
      <x:c r="F451" s="30" t="n">
        <x:v>150</x:v>
      </x:c>
      <x:c r="G451" s="30" t="str">
        <x:v>g</x:v>
      </x:c>
      <x:c r="H451" s="30" t="str">
        <x:v>package_net_weight</x:v>
      </x:c>
      <x:c r="I451" s="30" t="n">
        <x:v>50</x:v>
      </x:c>
      <x:c r="J451" s="30" t="n">
        <x:v>150</x:v>
      </x:c>
      <x:c r="K451" s="30" t="str">
        <x:v>无糖酸奶150g</x:v>
      </x:c>
      <x:c r="L451" s="76" t="b">
        <x:v>1</x:v>
      </x:c>
      <x:c r="M451" s="30" t="str">
        <x:v>按包装净含量g执行；产品标签来源待补；不得自动ml↔g换算。</x:v>
      </x:c>
      <x:c r="N451" s="30" t="n">
        <x:f>IF(OR(J451="",I451=""),"",ROUND(J451/I451,0)*I451)</x:f>
        <x:v>150</x:v>
      </x:c>
    </x:row>
    <x:row r="452">
      <x:c r="A452" s="30" t="str">
        <x:v>S010</x:v>
      </x:c>
      <x:c r="B452" s="30" t="str">
        <x:v>猕猴桃+无糖酸奶</x:v>
      </x:c>
      <x:c r="C452" s="30" t="str">
        <x:v>FIXED_COMPOSITE_NO_DIRECT_SCALING</x:v>
      </x:c>
      <x:c r="D452" s="30" t="n">
        <x:v>1.25</x:v>
      </x:c>
      <x:c r="E452" s="30"/>
      <x:c r="F452" s="30"/>
      <x:c r="G452" s="30"/>
      <x:c r="H452" s="30"/>
      <x:c r="I452" s="30"/>
      <x:c r="J452" s="30"/>
      <x:c r="K452" s="30" t="str">
        <x:v>该档位不允许整组件直接缩放</x:v>
      </x:c>
      <x:c r="L452" s="76" t="b">
        <x:v>0</x:v>
      </x:c>
      <x:c r="M452" s="30" t="str">
        <x:v>改用其他标准组件或拆分为单食物对象后重算；禁止患者端显示该份数。</x:v>
      </x:c>
      <x:c r="N452" s="30" t="str">
        <x:f>IF(OR(J452="",I452=""),"",ROUND(J452/I452,0)*I452)</x:f>
      </x:c>
    </x:row>
    <x:row r="453">
      <x:c r="A453" s="30" t="str">
        <x:v>S010</x:v>
      </x:c>
      <x:c r="B453" s="30" t="str">
        <x:v>猕猴桃+无糖酸奶</x:v>
      </x:c>
      <x:c r="C453" s="30" t="str">
        <x:v>FIXED_COMPOSITE_NO_DIRECT_SCALING</x:v>
      </x:c>
      <x:c r="D453" s="30" t="n">
        <x:v>1.5</x:v>
      </x:c>
      <x:c r="E453" s="30"/>
      <x:c r="F453" s="30"/>
      <x:c r="G453" s="30"/>
      <x:c r="H453" s="30"/>
      <x:c r="I453" s="30"/>
      <x:c r="J453" s="30"/>
      <x:c r="K453" s="30" t="str">
        <x:v>该档位不允许整组件直接缩放</x:v>
      </x:c>
      <x:c r="L453" s="76" t="b">
        <x:v>0</x:v>
      </x:c>
      <x:c r="M453" s="30" t="str">
        <x:v>改用其他标准组件或拆分为单食物对象后重算；禁止患者端显示该份数。</x:v>
      </x:c>
      <x:c r="N453" s="30" t="str">
        <x:f>IF(OR(J453="",I453=""),"",ROUND(J453/I453,0)*I453)</x:f>
      </x:c>
    </x:row>
  </x:sheetData>
  <x:conditionalFormatting sqref="L2:L453">
    <x:cfRule type="expression" dxfId="0" priority="1">
      <x:formula>L2=FALSE</x:formula>
    </x:cfRule>
    <x:cfRule type="expression" dxfId="1" priority="2">
      <x:formula>L2=TRUE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0" hidden="0" customWidth="1"/>
    <x:col min="4" max="4" width="60" hidden="0" customWidth="1"/>
    <x:col min="5" max="5" width="16" hidden="0" customWidth="1"/>
  </x:cols>
  <x:sheetData>
    <x:row r="1">
      <x:c r="A1" s="82" t="str">
        <x:v>来源ID</x:v>
      </x:c>
      <x:c r="B1" s="82" t="str">
        <x:v>来源</x:v>
      </x:c>
      <x:c r="C1" s="82" t="str">
        <x:v>本项目采用内容</x:v>
      </x:c>
      <x:c r="D1" s="82" t="str">
        <x:v>URL</x:v>
      </x:c>
      <x:c r="E1" s="82" t="str">
        <x:v>性质</x:v>
      </x:c>
    </x:row>
    <x:row r="2">
      <x:c r="A2" s="30" t="str">
        <x:v>SRC01</x:v>
      </x:c>
      <x:c r="B2" s="30" t="str">
        <x:v>中国营养学会 T/CNSS 020—2023《食物交换份》</x:v>
      </x:c>
      <x:c r="C2" s="30" t="str">
        <x:v>规定食物交换份定义、按90 kcal的同类交换质量；谷物/全谷物约25g/份、薯芋约100g/份；肉蛋水产、蔬菜、豆乳制品、油脂等均给出交换量。用于类别/重量口径和合理性校核，不直接等同本项目 component_portion_scale。</x:v>
      </x:c>
      <x:c r="D2" s="30" t="str">
        <x:v>https://www.cnssci.net/uploads/allimg/20240607/1-24060G41PM29.pdf</x:v>
      </x:c>
      <x:c r="E2" s="30" t="str">
        <x:v>直接标准</x:v>
      </x:c>
    </x:row>
    <x:row r="3">
      <x:c r="A3" s="30" t="str">
        <x:v>SRC02</x:v>
      </x:c>
      <x:c r="B3" s="30" t="str">
        <x:v>国家卫生健康委《成人肥胖食养指南（2024年版）》及问答</x:v>
      </x:c>
      <x:c r="C3" s="30" t="str">
        <x:v>强调个体化食养，并采用T/CNSS 020—2023食物交换表作为配餐工具；复杂合并症患者需专业人员指导。</x:v>
      </x:c>
      <x:c r="D3" s="30" t="str">
        <x:v>https://www.nhc.gov.cn/sps/c100088/202402/9ba512ba8e314a47a181db11d2fa188d.shtml</x:v>
      </x:c>
      <x:c r="E3" s="30" t="str">
        <x:v>国家指南</x:v>
      </x:c>
    </x:row>
    <x:row r="4">
      <x:c r="A4" s="30" t="str">
        <x:v>SRC03</x:v>
      </x:c>
      <x:c r="B4" s="30" t="str">
        <x:v>中国居民膳食指南（2022）</x:v>
      </x:c>
      <x:c r="C4" s="30" t="str">
        <x:v>成年人每日蔬菜≥300g、水果200–350g、奶类相当于液态奶≥300ml；鱼禽蛋瘦肉平均120–200g/d；烹调油25–30g/d。用于单餐份量上限的合理性校核，不直接规定本项目组件上下限。</x:v>
      </x:c>
      <x:c r="D4" s="30" t="str">
        <x:v>https://dg.cnsoc.org/article/04/J4-AsD_DR3OLQMnHG0-jZA.html</x:v>
      </x:c>
      <x:c r="E4" s="30" t="str">
        <x:v>膳食指南</x:v>
      </x:c>
    </x:row>
    <x:row r="5">
      <x:c r="A5" s="30" t="str">
        <x:v>SRC04</x:v>
      </x:c>
      <x:c r="B5" s="30" t="str">
        <x:v>国家卫生健康委 高血压等慢性病营养和运动指导原则（2024年版）</x:v>
      </x:c>
      <x:c r="C5" s="30" t="str">
        <x:v>包含常见食物交换表和慢病营养原则；支持使用标准化交换量与疾病修饰进行个体化配餐。</x:v>
      </x:c>
      <x:c r="D5" s="30" t="str">
        <x:v>https://www.nhc.gov.cn/ylyjs/gzdt/202407/0b07b1f34bc94bbfaf5ecf114762d479.shtml</x:v>
      </x:c>
      <x:c r="E5" s="30" t="str">
        <x:v>国家指导原则</x:v>
      </x:c>
    </x:row>
    <x:row r="6">
      <x:c r="A6" s="30" t="str">
        <x:v>SRC05</x:v>
      </x:c>
      <x:c r="B6" s="30" t="str">
        <x:v>ESPEN guideline on clinical nutrition in surgery – Update 2025</x:v>
      </x:c>
      <x:c r="C6" s="30" t="str">
        <x:v>围手术期应尽早识别营养风险并启动个体化营养治疗；用于D/E型营养恢复与安全覆盖原则，不用于直接给出单个组件克重。</x:v>
      </x:c>
      <x:c r="D6" s="30" t="str">
        <x:v>https://doi.org/10.1016/j.clnu.2025.08.029</x:v>
      </x:c>
      <x:c r="E6" s="30" t="str">
        <x:v>国际指南</x:v>
      </x:c>
    </x:row>
    <x:row r="7">
      <x:c r="A7" s="30" t="str">
        <x:v>SRC06</x:v>
      </x:c>
      <x:c r="B7" s="30" t="str">
        <x:v>中国加速康复外科临床实践指南（2021）</x:v>
      </x:c>
      <x:c r="C7" s="30" t="str">
        <x:v>建议术前进行营养风险筛查；有营养风险者制定营养诊疗计划。用于D/E型和安全覆盖，不用于具体组件克重。</x:v>
      </x:c>
      <x:c r="D7" s="30" t="str">
        <x:v>https://rs.yiigle.com/CN131073202109/1342601.htm</x:v>
      </x:c>
      <x:c r="E7" s="30" t="str">
        <x:v>中国指南</x:v>
      </x:c>
    </x:row>
    <x:row r="8">
      <x:c r="A8" s="30" t="str">
        <x:v>SRC07</x:v>
      </x:c>
      <x:c r="B8" s="30" t="str">
        <x:v>中国疾控中心营养与健康所食物营养查询平台</x:v>
      </x:c>
      <x:c r="C8" s="30" t="str">
        <x:v>用于原料营养值和营养重算的数据源候选；正式上线仍需记录项目认可的nutrition_source_version。</x:v>
      </x:c>
      <x:c r="D8" s="30" t="str">
        <x:v>https://nlc.chinanutri.cn/fq/</x:v>
      </x:c>
      <x:c r="E8" s="30" t="str">
        <x:v>营养数据库</x:v>
      </x:c>
    </x:row>
    <x:row r="9">
      <x:c r="A9" s="30" t="str">
        <x:v>SRC08</x:v>
      </x:c>
      <x:c r="B9" s="30" t="str">
        <x:v>国家卫生健康委《成人糖尿病食养指南（2023年版）》</x:v>
      </x:c>
      <x:c r="C9" s="30" t="str">
        <x:v>用于控糖候选分级与碳水总量/餐次分配复核；不把单一食物简单标为绝对禁用。</x:v>
      </x:c>
      <x:c r="D9" s="30" t="str">
        <x:v>https://www.nhc.gov.cn/cms-search/downFiles/4fcbecd2c18e46baaf291bf46c2b79cd.pdf</x:v>
      </x:c>
      <x:c r="E9" s="30" t="str">
        <x:v>国家指南</x:v>
      </x:c>
    </x:row>
    <x:row r="10">
      <x:c r="A10" s="30" t="str">
        <x:v>SRC09</x:v>
      </x:c>
      <x:c r="B10" s="30" t="str">
        <x:v>国家卫生健康委 成人高脂血症/高血压食养指南（2023年版）</x:v>
      </x:c>
      <x:c r="C10" s="30" t="str">
        <x:v>用于脂质、钠、烹调油及产品标签复核；仍需结合全天膳食和治疗目标。</x:v>
      </x:c>
      <x:c r="D10" s="30" t="str">
        <x:v>https://www.nhc.gov.cn/sps/c100088/202301/f01895a06c5349ef999f25da833c166d.shtml</x:v>
      </x:c>
      <x:c r="E10" s="30" t="str">
        <x:v>国家指南</x:v>
      </x:c>
    </x:row>
    <x:row r="11">
      <x:c r="A11" s="30" t="str">
        <x:v>SRC10</x:v>
      </x:c>
      <x:c r="B11" s="30" t="str">
        <x:v>国家卫生健康委 成人高尿酸血症与痛风食养指南（2024年版）</x:v>
      </x:c>
      <x:c r="C11" s="30" t="str">
        <x:v>用于高尿酸/痛风候选分级；按病期、总量、饮水及肾功能个体化，避免仅按单一食物机械禁限。</x:v>
      </x:c>
      <x:c r="D11" s="30" t="str">
        <x:v>https://www.nhc.gov.cn/sps/c100088/202402/9ba512ba8e314a47a181db11d2fa188d.shtml</x:v>
      </x:c>
      <x:c r="E11" s="30" t="str">
        <x:v>国家指南</x:v>
      </x:c>
    </x:row>
    <x:row r="12">
      <x:c r="A12" s="30" t="str">
        <x:v>规则ID</x:v>
      </x:c>
      <x:c r="B12" s="30" t="str">
        <x:v>规则</x:v>
      </x:c>
      <x:c r="C12" s="30" t="str">
        <x:v>候选内容</x:v>
      </x:c>
      <x:c r="D12" s="30" t="str">
        <x:v>依据</x:v>
      </x:c>
      <x:c r="E12" s="30"/>
    </x:row>
    <x:row r="13">
      <x:c r="A13" s="30" t="str">
        <x:v>R01</x:v>
      </x:c>
      <x:c r="B13" s="30" t="str">
        <x:v>内部scale≠交换份</x:v>
      </x:c>
      <x:c r="C13" s="30" t="str">
        <x:v>本项目0.5/0.75/1/1.25/1.5是相对组件base配方的缩放；T/CNSS交换份是按约90kcal定义的同类食物换算工具，两者必须分离。</x:v>
      </x:c>
      <x:c r="D13" s="30" t="str">
        <x:v>SRC01</x:v>
      </x:c>
      <x:c r="E13" s="30"/>
    </x:row>
    <x:row r="14">
      <x:c r="A14" s="30" t="str">
        <x:v>R02</x:v>
      </x:c>
      <x:c r="B14" s="30" t="str">
        <x:v>最终执行量必须物化</x:v>
      </x:c>
      <x:c r="C14" s="30" t="str">
        <x:v>最终医生/患者方案必须有g/ml/个；复合菜至少展开主要食材量。仅有“1份/0.75份”不得判patient_executability PASS。</x:v>
      </x:c>
      <x:c r="D14" s="30" t="str">
        <x:v>02现有规则+本轮加固</x:v>
      </x:c>
      <x:c r="E14" s="30"/>
    </x:row>
    <x:row r="15">
      <x:c r="A15" s="30" t="str">
        <x:v>R03</x:v>
      </x:c>
      <x:c r="B15" s="30" t="str">
        <x:v>执行化后必须重算</x:v>
      </x:c>
      <x:c r="C15" s="30" t="str">
        <x:v>算法量经取整/包装映射/整枚鸡蛋处理后，必须重新计算该餐和全天营养，不得沿用线性缩放前的kcal/P/C/F。</x:v>
      </x:c>
      <x:c r="D15" s="30" t="str">
        <x:v>02现有规则</x:v>
      </x:c>
      <x:c r="E15" s="30"/>
    </x:row>
    <x:row r="16">
      <x:c r="A16" s="30" t="str">
        <x:v>R04</x:v>
      </x:c>
      <x:c r="B16" s="30" t="str">
        <x:v>重量口径统一</x:v>
      </x:c>
      <x:c r="C16" s="30" t="str">
        <x:v>谷物、全谷、杂豆、干面/面粉优先按干/生重；肉鱼蔬果按烹调前可食部；成品/乳品按净含量或包装容量；油按实际加入量。</x:v>
      </x:c>
      <x:c r="D16" s="30" t="str">
        <x:v>SRC01+现有FOOD配方</x:v>
      </x:c>
      <x:c r="E16" s="30"/>
    </x:row>
    <x:row r="17">
      <x:c r="A17" s="30" t="str">
        <x:v>R05</x:v>
      </x:c>
      <x:c r="B17" s="30" t="str">
        <x:v>离散复合组件不整组缩放</x:v>
      </x:c>
      <x:c r="C17" s="30" t="str">
        <x:v>含整枚鸡蛋、固定包装奶/酸奶、复合加餐的组件默认锁1.0×base；需调整时换组件或拆分为单项后重算。</x:v>
      </x:c>
      <x:c r="D17" s="30" t="str">
        <x:v>可执行性工程候选，MDT确认</x:v>
      </x:c>
      <x:c r="E17" s="30"/>
    </x:row>
    <x:row r="18">
      <x:c r="A18" s="30" t="str">
        <x:v>R06</x:v>
      </x:c>
      <x:c r="B18" s="30" t="str">
        <x:v>蔬菜单餐上限为项目候选</x:v>
      </x:c>
      <x:c r="C18" s="30" t="str">
        <x:v>基于中国居民膳食指南每日蔬菜≥300g及本项目避免单餐体积过大的目标，普通蔬菜组件候选max 1.25×base，大体积base候选max 1.0×base；该上限不是指南直接规定，需MDT确认。</x:v>
      </x:c>
      <x:c r="D18" s="30" t="str">
        <x:v>SRC03+项目工程候选</x:v>
      </x:c>
      <x:c r="E18" s="30"/>
    </x:row>
    <x:row r="19">
      <x:c r="A19" t="str">
        <x:v>R07</x:v>
      </x:c>
      <x:c r="B19" t="str">
        <x:v>D/E覆盖</x:v>
      </x:c>
      <x:c r="C19" t="str">
        <x:v>有摄入下降、早饱/恶心或营养风险时，优先完成主蛋白和主食，蔬菜小份熟软；不因减脂模板或高纤维目标造成低摄入。</x:v>
      </x:c>
      <x:c r="D19" t="str">
        <x:v>SRC05+SRC06+02现有D/E规则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0" hidden="0" customWidth="1"/>
    <x:col min="4" max="4" width="28" hidden="0" customWidth="1"/>
    <x:col min="5" max="5" width="72" hidden="0" customWidth="1"/>
    <x:col min="7" max="7" width="30" hidden="0" customWidth="1"/>
    <x:col min="8" max="8" width="30" hidden="0" customWidth="1"/>
    <x:col min="10" max="10" width="14" hidden="0" customWidth="1"/>
    <x:col min="11" max="11" width="36" hidden="0" customWidth="1"/>
    <x:col min="12" max="12" width="44" hidden="0" customWidth="1"/>
    <x:col min="13" max="13" width="34" hidden="0" customWidth="1"/>
    <x:col min="14" max="14" width="14" hidden="0" customWidth="1"/>
  </x:cols>
  <x:sheetData>
    <x:row r="1">
      <x:c r="A1" s="85" t="str">
        <x:v>component_id</x:v>
      </x:c>
      <x:c r="B1" s="85" t="str">
        <x:v>组件名称</x:v>
      </x:c>
      <x:c r="C1" s="85" t="str">
        <x:v>优先级</x:v>
      </x:c>
      <x:c r="D1" s="85" t="str">
        <x:v>审核主题</x:v>
      </x:c>
      <x:c r="E1" s="85" t="str">
        <x:v>MDT需要确认的问题</x:v>
      </x:c>
      <x:c r="G1" s="87" t="str">
        <x:v>说明</x:v>
      </x:c>
      <x:c r="H1" s="87" t="str">
        <x:v>内容</x:v>
      </x:c>
      <x:c r="I1" s="87"/>
      <x:c r="J1" s="115" t="str">
        <x:v>已按MDT原则处理的9组跨表份量冲突</x:v>
      </x:c>
      <x:c r="K1" s="115"/>
      <x:c r="L1" s="115"/>
      <x:c r="M1" s="115"/>
      <x:c r="N1" s="115"/>
    </x:row>
    <x:row r="2">
      <x:c r="A2" s="30" t="str">
        <x:v>C005</x:v>
      </x:c>
      <x:c r="B2" s="30" t="str">
        <x:v>全麦馒头基础份</x:v>
      </x:c>
      <x:c r="C2" s="30" t="str">
        <x:v>中</x:v>
      </x:c>
      <x:c r="D2" s="30" t="str">
        <x:v>成品/包装量差异</x:v>
      </x:c>
      <x:c r="E2" s="30" t="str">
        <x:v>请确认患者端以实际净重+包装标签为准；家庭单位仅辅助，不替代planned_grams。</x:v>
      </x:c>
      <x:c r="G2" s="30" t="str">
        <x:v>文件性质</x:v>
      </x:c>
      <x:c r="H2" s="30" t="str">
        <x:v>AI预填候选，供MDT审核，不是最终ACTIVE配置</x:v>
      </x:c>
      <x:c r="I2" s="30"/>
      <x:c r="J2" s="133" t="str">
        <x:v>component_id</x:v>
      </x:c>
      <x:c r="K2" s="133" t="str">
        <x:v>原冲突</x:v>
      </x:c>
      <x:c r="L2" s="133" t="str">
        <x:v>最终处理</x:v>
      </x:c>
      <x:c r="M2" s="133" t="str">
        <x:v>影响</x:v>
      </x:c>
      <x:c r="N2" s="133" t="str">
        <x:v>状态</x:v>
      </x:c>
    </x:row>
    <x:row r="3">
      <x:c r="A3" s="30" t="str">
        <x:v>C011</x:v>
      </x:c>
      <x:c r="B3" s="30" t="str">
        <x:v>全麦面包基础份</x:v>
      </x:c>
      <x:c r="C3" s="30" t="str">
        <x:v>中</x:v>
      </x:c>
      <x:c r="D3" s="30" t="str">
        <x:v>成品/包装量差异</x:v>
      </x:c>
      <x:c r="E3" s="30" t="str">
        <x:v>请确认患者端以实际净重+包装标签为准；家庭单位仅辅助，不替代planned_grams。</x:v>
      </x:c>
      <x:c r="G3" s="30" t="str">
        <x:v>数值边界</x:v>
      </x:c>
      <x:c r="H3" s="30" t="str">
        <x:v>多为“指南/标准 + 当前base配方 + 可执行性工程规则”推导，并非指南逐组件直接规定</x:v>
      </x:c>
      <x:c r="I3" s="30"/>
      <x:c r="J3" s="30" t="str">
        <x:v>C003</x:v>
      </x:c>
      <x:c r="K3" s="30" t="str">
        <x:v>0.5/0.75×时糙米低于min</x:v>
      </x:c>
      <x:c r="L3" s="30" t="str">
        <x:v>禁用0.5/0.75×；保留合法scale</x:v>
      </x:c>
      <x:c r="M3" s="30" t="str">
        <x:v>避免强行改变杂粮比例</x:v>
      </x:c>
      <x:c r="N3" s="30" t="str">
        <x:v>RESOLVED</x:v>
      </x:c>
    </x:row>
    <x:row r="4">
      <x:c r="A4" s="30" t="str">
        <x:v>P007</x:v>
      </x:c>
      <x:c r="B4" s="30" t="str">
        <x:v>虾仁蒸蛋</x:v>
      </x:c>
      <x:c r="C4" s="30" t="str">
        <x:v>高</x:v>
      </x:c>
      <x:c r="D4" s="30" t="str">
        <x:v>离散食物/包装复合组件</x:v>
      </x:c>
      <x:c r="E4" s="30" t="str">
        <x:v>请确认是否维持“固定组件，不做整组0.75/1.25倍缩放”；需要调整时是否统一改为换组件/拆分重算。</x:v>
      </x:c>
      <x:c r="G4" s="30" t="str">
        <x:v>上线条件</x:v>
      </x:c>
      <x:c r="H4" s="30" t="str">
        <x:v>MDT确认后写回知识库；执行化后重算；通过validator后才可发布</x:v>
      </x:c>
      <x:c r="I4" s="30"/>
      <x:c r="J4" s="30" t="str">
        <x:v>C005</x:v>
      </x:c>
      <x:c r="K4" s="30" t="str">
        <x:v>1.5×全麦面粉&gt;max</x:v>
      </x:c>
      <x:c r="L4" s="30" t="str">
        <x:v>禁用1.5×</x:v>
      </x:c>
      <x:c r="M4" s="30" t="str">
        <x:v>上限收至合法scale</x:v>
      </x:c>
      <x:c r="N4" s="30" t="str">
        <x:v>RESOLVED</x:v>
      </x:c>
    </x:row>
    <x:row r="5">
      <x:c r="A5" s="30" t="str">
        <x:v>P009</x:v>
      </x:c>
      <x:c r="B5" s="30" t="str">
        <x:v>番茄炒蛋（少油版）</x:v>
      </x:c>
      <x:c r="C5" s="30" t="str">
        <x:v>高</x:v>
      </x:c>
      <x:c r="D5" s="30" t="str">
        <x:v>离散食物/包装复合组件</x:v>
      </x:c>
      <x:c r="E5" s="30" t="str">
        <x:v>请确认是否维持“固定组件，不做整组0.75/1.25倍缩放”；需要调整时是否统一改为换组件/拆分重算。</x:v>
      </x:c>
      <x:c r="G5" s="30" t="str">
        <x:v>关键概念</x:v>
      </x:c>
      <x:c r="H5" s="30" t="str">
        <x:v>component_portion_scale ≠ 90kcal食物交换份</x:v>
      </x:c>
      <x:c r="I5" s="30"/>
      <x:c r="J5" s="30" t="str">
        <x:v>C006</x:v>
      </x:c>
      <x:c r="K5" s="30" t="str">
        <x:v>1.5×鲜玉米&gt;max</x:v>
      </x:c>
      <x:c r="L5" s="30" t="str">
        <x:v>禁用1.5×</x:v>
      </x:c>
      <x:c r="M5" s="30" t="str">
        <x:v>上限收至合法scale</x:v>
      </x:c>
      <x:c r="N5" s="30" t="str">
        <x:v>RESOLVED</x:v>
      </x:c>
    </x:row>
    <x:row r="6">
      <x:c r="A6" s="30" t="str">
        <x:v>P014</x:v>
      </x:c>
      <x:c r="B6" s="30" t="str">
        <x:v>鸡蛋豆腐羹</x:v>
      </x:c>
      <x:c r="C6" s="30" t="str">
        <x:v>高</x:v>
      </x:c>
      <x:c r="D6" s="30" t="str">
        <x:v>离散食物/包装复合组件</x:v>
      </x:c>
      <x:c r="E6" s="30" t="str">
        <x:v>请确认是否维持“固定组件，不做整组0.75/1.25倍缩放”；需要调整时是否统一改为换组件/拆分重算。</x:v>
      </x:c>
      <x:c r="G6" s="30" t="str">
        <x:v>范围</x:v>
      </x:c>
      <x:c r="H6" s="30" t="str">
        <x:v>当前仅覆盖02中的49个标准组件，不含扩展候选池C013+/S011+等</x:v>
      </x:c>
      <x:c r="I6" s="30"/>
      <x:c r="J6" s="30" t="str">
        <x:v>C008</x:v>
      </x:c>
      <x:c r="K6" s="30" t="str">
        <x:v>1.5×荞麦面干&gt;max</x:v>
      </x:c>
      <x:c r="L6" s="30" t="str">
        <x:v>禁用1.5×</x:v>
      </x:c>
      <x:c r="M6" s="30" t="str">
        <x:v>上限收至合法scale</x:v>
      </x:c>
      <x:c r="N6" s="30" t="str">
        <x:v>RESOLVED</x:v>
      </x:c>
    </x:row>
    <x:row r="7">
      <x:c r="A7" s="30" t="str">
        <x:v>P015</x:v>
      </x:c>
      <x:c r="B7" s="30" t="str">
        <x:v>低脂奶蛋组合</x:v>
      </x:c>
      <x:c r="C7" s="30" t="str">
        <x:v>高</x:v>
      </x:c>
      <x:c r="D7" s="30" t="str">
        <x:v>离散食物/包装复合组件</x:v>
      </x:c>
      <x:c r="E7" s="30" t="str">
        <x:v>请确认是否维持“固定组件，不做整组0.75/1.25倍缩放”；需要调整时是否统一改为换组件/拆分重算。</x:v>
      </x:c>
      <x:c r="J7" s="30" t="str">
        <x:v>C011</x:v>
      </x:c>
      <x:c r="K7" s="30" t="str">
        <x:v>1.5×全麦面包&gt;max</x:v>
      </x:c>
      <x:c r="L7" s="30" t="str">
        <x:v>禁用1.5×</x:v>
      </x:c>
      <x:c r="M7" s="30" t="str">
        <x:v>上限收至合法scale</x:v>
      </x:c>
      <x:c r="N7" s="30" t="str">
        <x:v>RESOLVED</x:v>
      </x:c>
    </x:row>
    <x:row r="8">
      <x:c r="A8" s="30" t="str">
        <x:v>V006</x:v>
      </x:c>
      <x:c r="B8" s="30" t="str">
        <x:v>番茄黄瓜双拼</x:v>
      </x:c>
      <x:c r="C8" s="30" t="str">
        <x:v>中</x:v>
      </x:c>
      <x:c r="D8" s="30" t="str">
        <x:v>base单餐体积较大</x:v>
      </x:c>
      <x:c r="E8" s="30" t="str">
        <x:v>请确认上限是否锁定1.0×base；D/E是否默认0.5–0.75×base熟软执行。</x:v>
      </x:c>
      <x:c r="J8" s="30" t="str">
        <x:v>C012</x:v>
      </x:c>
      <x:c r="K8" s="30" t="str">
        <x:v>1.5×山药&gt;max</x:v>
      </x:c>
      <x:c r="L8" s="30" t="str">
        <x:v>禁用1.5×</x:v>
      </x:c>
      <x:c r="M8" s="30" t="str">
        <x:v>上限收至合法scale</x:v>
      </x:c>
      <x:c r="N8" s="30" t="str">
        <x:v>RESOLVED</x:v>
      </x:c>
    </x:row>
    <x:row r="9">
      <x:c r="A9" s="30" t="str">
        <x:v>V009</x:v>
      </x:c>
      <x:c r="B9" s="30" t="str">
        <x:v>冬瓜香菇</x:v>
      </x:c>
      <x:c r="C9" s="30" t="str">
        <x:v>中</x:v>
      </x:c>
      <x:c r="D9" s="30" t="str">
        <x:v>base单餐体积较大</x:v>
      </x:c>
      <x:c r="E9" s="30" t="str">
        <x:v>请确认上限是否锁定1.0×base；D/E是否默认0.5–0.75×base熟软执行。</x:v>
      </x:c>
      <x:c r="J9" s="30" t="str">
        <x:v>P008</x:v>
      </x:c>
      <x:c r="K9" s="30" t="str">
        <x:v>部分scale豆腐不落在10g步长；1.5×越界</x:v>
      </x:c>
      <x:c r="L9" s="30" t="str">
        <x:v>合法scale内按10g执行化；禁用1.5×</x:v>
      </x:c>
      <x:c r="M9" s="30" t="str">
        <x:v>保留可执行scale并重算</x:v>
      </x:c>
      <x:c r="N9" s="30" t="str">
        <x:v>RESOLVED</x:v>
      </x:c>
    </x:row>
    <x:row r="10">
      <x:c r="A10" s="30" t="str">
        <x:v>V011</x:v>
      </x:c>
      <x:c r="B10" s="30" t="str">
        <x:v>生菜番茄沙拉（中式清拌）</x:v>
      </x:c>
      <x:c r="C10" s="30" t="str">
        <x:v>中</x:v>
      </x:c>
      <x:c r="D10" s="30" t="str">
        <x:v>base单餐体积较大</x:v>
      </x:c>
      <x:c r="E10" s="30" t="str">
        <x:v>请确认上限是否锁定1.0×base；D/E是否默认0.5–0.75×base熟软执行。</x:v>
      </x:c>
      <x:c r="J10" s="30" t="str">
        <x:v>P013</x:v>
      </x:c>
      <x:c r="K10" s="30" t="str">
        <x:v>0.75/1.25×豆腐不落在10g步长</x:v>
      </x:c>
      <x:c r="L10" s="30" t="str">
        <x:v>按10g执行化后保留；重新计算营养</x:v>
      </x:c>
      <x:c r="M10" s="30" t="str">
        <x:v>不需禁用scale</x:v>
      </x:c>
      <x:c r="N10" s="30" t="str">
        <x:v>RESOLVED</x:v>
      </x:c>
    </x:row>
    <x:row r="11">
      <x:c r="A11" s="30" t="str">
        <x:v>S001</x:v>
      </x:c>
      <x:c r="B11" s="30" t="str">
        <x:v>低脂奶+苹果</x:v>
      </x:c>
      <x:c r="C11" s="30" t="str">
        <x:v>高</x:v>
      </x:c>
      <x:c r="D11" s="30" t="str">
        <x:v>离散食物/包装复合组件</x:v>
      </x:c>
      <x:c r="E11" s="30" t="str">
        <x:v>请确认是否维持“固定组件，不做整组0.75/1.25倍缩放”；需要调整时是否统一改为换组件/拆分重算。</x:v>
      </x:c>
      <x:c r="J11" s="30" t="str">
        <x:v>V007</x:v>
      </x:c>
      <x:c r="K11" s="30" t="str">
        <x:v>1.25×杏鲍菇&gt;max</x:v>
      </x:c>
      <x:c r="L11" s="30" t="str">
        <x:v>禁用1.25×</x:v>
      </x:c>
      <x:c r="M11" s="30" t="str">
        <x:v>上限收至1.0×</x:v>
      </x:c>
      <x:c r="N11" s="30" t="str">
        <x:v>RESOLVED</x:v>
      </x:c>
    </x:row>
    <x:row r="12">
      <x:c r="A12" s="30" t="str">
        <x:v>S002</x:v>
      </x:c>
      <x:c r="B12" s="30" t="str">
        <x:v>无糖酸奶+草莓</x:v>
      </x:c>
      <x:c r="C12" s="30" t="str">
        <x:v>高</x:v>
      </x:c>
      <x:c r="D12" s="30" t="str">
        <x:v>离散食物/包装复合组件</x:v>
      </x:c>
      <x:c r="E12" s="30" t="str">
        <x:v>请确认是否维持“固定组件，不做整组0.75/1.25倍缩放”；需要调整时是否统一改为换组件/拆分重算。</x:v>
      </x:c>
      <x:c r="J12" s="30"/>
      <x:c r="K12" s="30"/>
      <x:c r="L12" s="30"/>
      <x:c r="M12" s="30"/>
      <x:c r="N12" s="30"/>
    </x:row>
    <x:row r="13">
      <x:c r="A13" s="30" t="str">
        <x:v>S003</x:v>
      </x:c>
      <x:c r="B13" s="30" t="str">
        <x:v>无糖豆浆+梨</x:v>
      </x:c>
      <x:c r="C13" s="30" t="str">
        <x:v>高</x:v>
      </x:c>
      <x:c r="D13" s="30" t="str">
        <x:v>离散食物/包装复合组件</x:v>
      </x:c>
      <x:c r="E13" s="30" t="str">
        <x:v>请确认是否维持“固定组件，不做整组0.75/1.25倍缩放”；需要调整时是否统一改为换组件/拆分重算。</x:v>
      </x:c>
      <x:c r="J13" s="30"/>
      <x:c r="K13" s="30"/>
      <x:c r="L13" s="30"/>
      <x:c r="M13" s="30"/>
      <x:c r="N13" s="30"/>
    </x:row>
    <x:row r="14">
      <x:c r="A14" s="30" t="str">
        <x:v>S004</x:v>
      </x:c>
      <x:c r="B14" s="30" t="str">
        <x:v>低脂奶+小香蕉</x:v>
      </x:c>
      <x:c r="C14" s="30" t="str">
        <x:v>高</x:v>
      </x:c>
      <x:c r="D14" s="30" t="str">
        <x:v>离散食物/包装复合组件</x:v>
      </x:c>
      <x:c r="E14" s="30" t="str">
        <x:v>请确认是否维持“固定组件，不做整组0.75/1.25倍缩放”；需要调整时是否统一改为换组件/拆分重算。</x:v>
      </x:c>
      <x:c r="J14" s="30"/>
      <x:c r="K14" s="30"/>
      <x:c r="L14" s="30"/>
      <x:c r="M14" s="30"/>
      <x:c r="N14" s="30"/>
    </x:row>
    <x:row r="15">
      <x:c r="A15" s="30" t="str">
        <x:v>S005</x:v>
      </x:c>
      <x:c r="B15" s="30" t="str">
        <x:v>无糖酸奶+核桃</x:v>
      </x:c>
      <x:c r="C15" s="30" t="str">
        <x:v>高</x:v>
      </x:c>
      <x:c r="D15" s="30" t="str">
        <x:v>离散食物/包装复合组件</x:v>
      </x:c>
      <x:c r="E15" s="30" t="str">
        <x:v>请确认是否维持“固定组件，不做整组0.75/1.25倍缩放”；需要调整时是否统一改为换组件/拆分重算。</x:v>
      </x:c>
      <x:c r="J15" s="30"/>
      <x:c r="K15" s="30"/>
      <x:c r="L15" s="30"/>
      <x:c r="M15" s="30"/>
      <x:c r="N15" s="30"/>
    </x:row>
    <x:row r="16">
      <x:c r="A16" s="30" t="str">
        <x:v>S006</x:v>
      </x:c>
      <x:c r="B16" s="30" t="str">
        <x:v>低脂奶+橙</x:v>
      </x:c>
      <x:c r="C16" s="30" t="str">
        <x:v>高</x:v>
      </x:c>
      <x:c r="D16" s="30" t="str">
        <x:v>离散食物/包装复合组件</x:v>
      </x:c>
      <x:c r="E16" s="30" t="str">
        <x:v>请确认是否维持“固定组件，不做整组0.75/1.25倍缩放”；需要调整时是否统一改为换组件/拆分重算。</x:v>
      </x:c>
      <x:c r="J16" s="30"/>
      <x:c r="K16" s="30"/>
      <x:c r="L16" s="30"/>
      <x:c r="M16" s="30"/>
      <x:c r="N16" s="30"/>
    </x:row>
    <x:row r="17">
      <x:c r="A17" s="30" t="str">
        <x:v>S007</x:v>
      </x:c>
      <x:c r="B17" s="30" t="str">
        <x:v>苹果+杏仁</x:v>
      </x:c>
      <x:c r="C17" s="30" t="str">
        <x:v>高</x:v>
      </x:c>
      <x:c r="D17" s="30" t="str">
        <x:v>离散食物/包装复合组件</x:v>
      </x:c>
      <x:c r="E17" s="30" t="str">
        <x:v>请确认是否维持“固定组件，不做整组0.75/1.25倍缩放”；需要调整时是否统一改为换组件/拆分重算。</x:v>
      </x:c>
      <x:c r="J17" s="30"/>
      <x:c r="K17" s="30"/>
      <x:c r="L17" s="30"/>
      <x:c r="M17" s="30"/>
      <x:c r="N17" s="30"/>
    </x:row>
    <x:row r="18">
      <x:c r="A18" s="30" t="str">
        <x:v>S008</x:v>
      </x:c>
      <x:c r="B18" s="30" t="str">
        <x:v>鲜玉米+低脂奶</x:v>
      </x:c>
      <x:c r="C18" s="30" t="str">
        <x:v>高</x:v>
      </x:c>
      <x:c r="D18" s="30" t="str">
        <x:v>离散食物/包装复合组件</x:v>
      </x:c>
      <x:c r="E18" s="30" t="str">
        <x:v>请确认是否维持“固定组件，不做整组0.75/1.25倍缩放”；需要调整时是否统一改为换组件/拆分重算。</x:v>
      </x:c>
      <x:c r="J18" s="30"/>
      <x:c r="K18" s="30"/>
      <x:c r="L18" s="30"/>
      <x:c r="M18" s="30"/>
      <x:c r="N18" s="30"/>
    </x:row>
    <x:row r="19">
      <x:c r="A19" s="30" t="str">
        <x:v>S009</x:v>
      </x:c>
      <x:c r="B19" s="30" t="str">
        <x:v>水煮蛋+小番茄</x:v>
      </x:c>
      <x:c r="C19" s="30" t="str">
        <x:v>高</x:v>
      </x:c>
      <x:c r="D19" s="30" t="str">
        <x:v>离散食物/包装复合组件</x:v>
      </x:c>
      <x:c r="E19" s="30" t="str">
        <x:v>请确认是否维持“固定组件，不做整组0.75/1.25倍缩放”；需要调整时是否统一改为换组件/拆分重算。</x:v>
      </x:c>
      <x:c r="J19" s="30"/>
      <x:c r="K19" s="30"/>
      <x:c r="L19" s="30"/>
      <x:c r="M19" s="30"/>
      <x:c r="N19" s="30"/>
    </x:row>
    <x:row r="20">
      <x:c r="A20" s="30" t="str">
        <x:v>S010</x:v>
      </x:c>
      <x:c r="B20" s="30" t="str">
        <x:v>猕猴桃+无糖酸奶</x:v>
      </x:c>
      <x:c r="C20" s="30" t="str">
        <x:v>高</x:v>
      </x:c>
      <x:c r="D20" s="30" t="str">
        <x:v>离散食物/包装复合组件</x:v>
      </x:c>
      <x:c r="E20" s="30" t="str">
        <x:v>请确认是否维持“固定组件，不做整组0.75/1.25倍缩放”；需要调整时是否统一改为换组件/拆分重算。</x:v>
      </x:c>
      <x:c r="J20" s="30"/>
      <x:c r="K20" s="30"/>
      <x:c r="L20" s="30"/>
      <x:c r="M20" s="30"/>
      <x:c r="N20" s="30"/>
    </x:row>
    <x:row r="21">
      <x:c r="A21" s="30"/>
      <x:c r="B21" s="30"/>
      <x:c r="C21" s="30"/>
      <x:c r="D21" s="30"/>
      <x:c r="E21" s="30"/>
    </x:row>
    <x:row r="22">
      <x:c r="A22" s="30"/>
      <x:c r="B22" s="30"/>
      <x:c r="C22" s="30"/>
      <x:c r="D22" s="30"/>
      <x:c r="E22" s="30"/>
    </x:row>
    <x:row r="23">
      <x:c r="A23" s="30" t="str">
        <x:v>全局</x:v>
      </x:c>
      <x:c r="B23" s="30" t="str">
        <x:v>内部scale命名</x:v>
      </x:c>
      <x:c r="C23" s="30" t="str">
        <x:v>高</x:v>
      </x:c>
      <x:c r="D23" s="30" t="str">
        <x:v>是否将patient端“份”彻底禁用</x:v>
      </x:c>
      <x:c r="E23" s="30" t="str">
        <x:v>建议前端/方案只显示g/ml/个；后台字段改称component_portion_scale，避免与90kcal交换份混淆。</x:v>
      </x:c>
    </x:row>
    <x:row r="24">
      <x:c r="A24" s="30" t="str">
        <x:v>全局</x:v>
      </x:c>
      <x:c r="B24" s="30" t="str">
        <x:v>重量口径</x:v>
      </x:c>
      <x:c r="C24" s="30" t="str">
        <x:v>高</x:v>
      </x:c>
      <x:c r="D24" s="30" t="str">
        <x:v>是否确认统一口径</x:v>
      </x:c>
      <x:c r="E24" s="30" t="str">
        <x:v>干粮/面粉/干面=干重；肉鱼蔬果=烹调前可食部；奶/豆浆/酸奶=包装净含量；油=加入量。</x:v>
      </x:c>
    </x:row>
    <x:row r="25">
      <x:c r="A25" s="30" t="str">
        <x:v>全局</x:v>
      </x:c>
      <x:c r="B25" s="30" t="str">
        <x:v>执行步长</x:v>
      </x:c>
      <x:c r="C25" s="30" t="str">
        <x:v>高</x:v>
      </x:c>
      <x:c r="D25" s="30" t="str">
        <x:v>是否认可候选步长</x:v>
      </x:c>
      <x:c r="E25" s="30" t="str">
        <x:v>谷物5g、肉鱼豆腐5g、蔬果10g、奶/豆浆/酸奶50ml(g)、坚果5g、油1g、鸡蛋整枚50g。</x:v>
      </x:c>
    </x:row>
    <x:row r="26">
      <x:c r="A26" s="30" t="str">
        <x:v>全局</x:v>
      </x:c>
      <x:c r="B26" s="30" t="str">
        <x:v>营养重算</x:v>
      </x:c>
      <x:c r="C26" s="30" t="str">
        <x:v>高</x:v>
      </x:c>
      <x:c r="D26" s="30" t="str">
        <x:v>是否设为发布硬门槛</x:v>
      </x:c>
      <x:c r="E26" s="30" t="str">
        <x:v>任何执行化取整、替换或拆分后必须由认可营养计算源重算；否则NEEDS_RECALC且不得PUBLISHED。</x:v>
      </x:c>
    </x:row>
    <x:row r="27">
      <x:c r="A27" s="30" t="str">
        <x:v>全局</x:v>
      </x:c>
      <x:c r="B27" s="30" t="str">
        <x:v>D/E覆盖</x:v>
      </x:c>
      <x:c r="C27" s="30" t="str">
        <x:v>高</x:v>
      </x:c>
      <x:c r="D27" s="30" t="str">
        <x:v>是否认可优先级</x:v>
      </x:c>
      <x:c r="E27" s="30" t="str">
        <x:v>营养恢复/摄入不足优先于减脂；早饱/恶心时允许小份熟软、提高密度并减少大体积蔬菜。</x:v>
      </x:c>
    </x:row>
    <x:row r="28">
      <x:c r="A28" s="30"/>
      <x:c r="B28" s="30"/>
      <x:c r="C28" s="30"/>
      <x:c r="D28" s="30"/>
      <x:c r="E28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24" hidden="0" customWidth="1"/>
    <x:col min="5" max="5" width="65" hidden="0" customWidth="1"/>
    <x:col min="6" max="6" width="12" hidden="0" customWidth="1"/>
  </x:cols>
  <x:sheetData>
    <x:row r="1">
      <x:c r="A1" s="127" t="str">
        <x:v>ZXY 49个STANDARD_COMPONENT｜MDT原则定稿版 V1.3</x:v>
      </x:c>
      <x:c r="B1" s="127"/>
      <x:c r="C1" s="127"/>
      <x:c r="D1" s="127"/>
      <x:c r="E1" s="127"/>
      <x:c r="F1" s="127"/>
    </x:row>
    <x:row r="2">
      <x:c r="A2" s="30"/>
      <x:c r="B2" s="30"/>
      <x:c r="C2" s="30"/>
      <x:c r="D2" s="30"/>
      <x:c r="E2" s="30"/>
      <x:c r="F2" s="30"/>
    </x:row>
    <x:row r="3">
      <x:c r="A3" s="122" t="str">
        <x:v>MDT已同意：Ingredient Master优先；组件scale不得突破任一基础食材min/max/step；执行化、替换、配方改变后必须重算营养；基础食材营养源未确认时，组件不得用于EXACT闭合。</x:v>
      </x:c>
      <x:c r="B3" s="122"/>
      <x:c r="C3" s="122"/>
      <x:c r="D3" s="122"/>
      <x:c r="E3" s="122"/>
      <x:c r="F3" s="122"/>
    </x:row>
    <x:row r="4">
      <x:c r="A4" s="30"/>
      <x:c r="B4" s="30"/>
      <x:c r="C4" s="30"/>
      <x:c r="D4" s="30"/>
      <x:c r="E4" s="30"/>
      <x:c r="F4" s="30"/>
    </x:row>
    <x:row r="5">
      <x:c r="A5" s="128" t="str">
        <x:v>定稿规则</x:v>
      </x:c>
      <x:c r="B5" s="128" t="str">
        <x:v>结论</x:v>
      </x:c>
      <x:c r="C5" s="30"/>
      <x:c r="D5" s="128" t="str">
        <x:v>状态统计</x:v>
      </x:c>
      <x:c r="E5" s="128" t="str">
        <x:v>数量</x:v>
      </x:c>
      <x:c r="F5" s="30"/>
    </x:row>
    <x:row r="6">
      <x:c r="A6" s="30" t="str">
        <x:v>营养真值</x:v>
      </x:c>
      <x:c r="B6" s="30" t="str">
        <x:v>49组件不再保留第二套独立营养真值；ACTIVE组件按Ingredient Master重算。</x:v>
      </x:c>
      <x:c r="C6" s="30"/>
      <x:c r="D6" s="30" t="str">
        <x:v>ACTIVE_RECALCULATED</x:v>
      </x:c>
      <x:c r="E6" s="30" t="n">
        <x:f>COUNTIF('MDT核心审核表'!AH4:AH52,"ACTIVE_RECALCULATED")</x:f>
        <x:v>28</x:v>
      </x:c>
      <x:c r="F6" s="30"/>
    </x:row>
    <x:row r="7">
      <x:c r="A7" s="30" t="str">
        <x:v>scale判定</x:v>
      </x:c>
      <x:c r="B7" s="30" t="str">
        <x:v>0.5/0.75/1/1.25/1.5不是全局必选集合；每个组件的合法scale由逐食材边界反推。</x:v>
      </x:c>
      <x:c r="C7" s="30"/>
      <x:c r="D7" s="30" t="str">
        <x:v>NEEDS_SOURCE_RECALC</x:v>
      </x:c>
      <x:c r="E7" s="30" t="n">
        <x:f>COUNTIF('MDT核心审核表'!AH4:AH52,"NEEDS_SOURCE_RECALC")</x:f>
        <x:v>21</x:v>
      </x:c>
      <x:c r="F7" s="30"/>
    </x:row>
    <x:row r="8">
      <x:c r="A8" s="30" t="str">
        <x:v>冲突处理</x:v>
      </x:c>
      <x:c r="B8" s="30" t="str">
        <x:v>能通过合法执行步长取整且不越界则保留scale；越界则禁用该scale；若配方比例被实质改变则转AI_GENERATED_DISH。</x:v>
      </x:c>
      <x:c r="C8" s="30"/>
      <x:c r="D8" s="30" t="str">
        <x:v>scale PASS</x:v>
      </x:c>
      <x:c r="E8" s="30" t="n">
        <x:f>COUNTIF('MDT核心审核表'!AK4:AK52,"PASS")</x:f>
        <x:v>49</x:v>
      </x:c>
      <x:c r="F8" s="30"/>
    </x:row>
    <x:row r="9">
      <x:c r="A9" s="30" t="str">
        <x:v>患者显示</x:v>
      </x:c>
      <x:c r="B9" s="30" t="str">
        <x:v>最终显示g/ml/个；component_portion_scale只留后台。</x:v>
      </x:c>
      <x:c r="C9" s="30"/>
      <x:c r="D9" s="30" t="str">
        <x:v>无合法scale</x:v>
      </x:c>
      <x:c r="E9" s="30" t="n">
        <x:f>COUNTIF('MDT核心审核表'!AK4:AK52,"FAIL_NO_LEGAL_SCALE")</x:f>
        <x:v>0</x:v>
      </x:c>
      <x:c r="F9" s="30"/>
    </x:row>
    <x:row r="10">
      <x:c r="A10" s="30" t="str">
        <x:v>来源未决</x:v>
      </x:c>
      <x:c r="B10" s="30" t="str">
        <x:v>含产品标签/品种/身份待确认食材的组件可保留结构，但nutrition_status=NEEDS_SOURCE_RECALC。</x:v>
      </x:c>
      <x:c r="C10" s="30"/>
      <x:c r="D10" s="30" t="str">
        <x:v>已解决原9组份量冲突</x:v>
      </x:c>
      <x:c r="E10" s="30" t="str">
        <x:v>9组</x:v>
      </x:c>
      <x:c r="F10" s="30"/>
    </x:row>
    <x:row r="11">
      <x:c r="A11" s="30" t="str">
        <x:v>归档</x:v>
      </x:c>
      <x:c r="B11" s="30" t="str">
        <x:v>审核人、审核日期未提供，不在本版虚构；正式归档时补填。</x:v>
      </x:c>
      <x:c r="C11" s="30"/>
      <x:c r="D11" s="30"/>
      <x:c r="E11" s="30"/>
      <x:c r="F11" s="30"/>
    </x:row>
    <x:row r="12">
      <x:c r="A12" s="30"/>
      <x:c r="B12" s="30"/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129" t="str">
        <x:v>component_id</x:v>
      </x:c>
      <x:c r="B14" s="129" t="str">
        <x:v>组件名称</x:v>
      </x:c>
      <x:c r="C14" s="129" t="str">
        <x:v>pending_source_items</x:v>
      </x:c>
      <x:c r="D14" s="129" t="str">
        <x:v>allowed_scales</x:v>
      </x:c>
      <x:c r="E14" s="129" t="str">
        <x:v>后续处理</x:v>
      </x:c>
      <x:c r="F14" s="30"/>
    </x:row>
    <x:row r="15">
      <x:c r="A15" s="30" t="str">
        <x:v>C002</x:v>
      </x:c>
      <x:c r="B15" s="30" t="str">
        <x:v>糙米饭基础份</x:v>
      </x:c>
      <x:c r="C15" s="30" t="str">
        <x:v>糙米</x:v>
      </x:c>
      <x:c r="D15" s="30" t="str">
        <x:v>0.5,0.75,1,1.25,1.5</x:v>
      </x:c>
      <x:c r="E15" s="30" t="str">
        <x:v>规则已确认；补基础食材来源后重算并转ACTIVE</x:v>
      </x:c>
      <x:c r="F15" s="30"/>
    </x:row>
    <x:row r="16">
      <x:c r="A16" s="30" t="str">
        <x:v>C003</x:v>
      </x:c>
      <x:c r="B16" s="30" t="str">
        <x:v>杂粮饭基础份</x:v>
      </x:c>
      <x:c r="C16" s="30" t="str">
        <x:v>糙米</x:v>
      </x:c>
      <x:c r="D16" s="30" t="str">
        <x:v>1,1.25,1.5</x:v>
      </x:c>
      <x:c r="E16" s="30" t="str">
        <x:v>规则已确认；补基础食材来源后重算并转ACTIVE</x:v>
      </x:c>
      <x:c r="F16" s="30"/>
    </x:row>
    <x:row r="17">
      <x:c r="A17" s="30" t="str">
        <x:v>C005</x:v>
      </x:c>
      <x:c r="B17" s="30" t="str">
        <x:v>全麦馒头基础份</x:v>
      </x:c>
      <x:c r="C17" s="30" t="str">
        <x:v>全麦面粉</x:v>
      </x:c>
      <x:c r="D17" s="30" t="str">
        <x:v>0.5,0.75,1,1.25</x:v>
      </x:c>
      <x:c r="E17" s="30" t="str">
        <x:v>规则已确认；补基础食材来源后重算并转ACTIVE</x:v>
      </x:c>
      <x:c r="F17" s="30"/>
    </x:row>
    <x:row r="18">
      <x:c r="A18" s="30" t="str">
        <x:v>C008</x:v>
      </x:c>
      <x:c r="B18" s="30" t="str">
        <x:v>荞麦面基础份</x:v>
      </x:c>
      <x:c r="C18" s="30" t="str">
        <x:v>荞麦面干</x:v>
      </x:c>
      <x:c r="D18" s="30" t="str">
        <x:v>0.5,0.75,1,1.25</x:v>
      </x:c>
      <x:c r="E18" s="30" t="str">
        <x:v>规则已确认；补基础食材来源后重算并转ACTIVE</x:v>
      </x:c>
      <x:c r="F18" s="30"/>
    </x:row>
    <x:row r="19">
      <x:c r="A19" s="30" t="str">
        <x:v>C011</x:v>
      </x:c>
      <x:c r="B19" s="30" t="str">
        <x:v>全麦面包基础份</x:v>
      </x:c>
      <x:c r="C19" s="30" t="str">
        <x:v>全麦面包</x:v>
      </x:c>
      <x:c r="D19" s="30" t="str">
        <x:v>0.5,0.75,1,1.25</x:v>
      </x:c>
      <x:c r="E19" s="30" t="str">
        <x:v>规则已确认；补基础食材来源后重算并转ACTIVE</x:v>
      </x:c>
      <x:c r="F19" s="30"/>
    </x:row>
    <x:row r="20">
      <x:c r="A20" s="30" t="str">
        <x:v>P004</x:v>
      </x:c>
      <x:c r="B20" s="30" t="str">
        <x:v>去皮鸡腿肉炖菇</x:v>
      </x:c>
      <x:c r="C20" s="30" t="str">
        <x:v>鸡腿肉去皮</x:v>
      </x:c>
      <x:c r="D20" s="30" t="str">
        <x:v>0.5,0.75,1,1.25,1.5</x:v>
      </x:c>
      <x:c r="E20" s="30" t="str">
        <x:v>规则已确认；补基础食材来源后重算并转ACTIVE</x:v>
      </x:c>
      <x:c r="F20" s="30"/>
    </x:row>
    <x:row r="21">
      <x:c r="A21" s="30" t="str">
        <x:v>P006</x:v>
      </x:c>
      <x:c r="B21" s="30" t="str">
        <x:v>芹菜木耳里脊</x:v>
      </x:c>
      <x:c r="C21" s="30" t="str">
        <x:v>木耳鲜</x:v>
      </x:c>
      <x:c r="D21" s="30" t="str">
        <x:v>0.5,0.75,1,1.25,1.5</x:v>
      </x:c>
      <x:c r="E21" s="30" t="str">
        <x:v>规则已确认；补基础食材来源后重算并转ACTIVE</x:v>
      </x:c>
      <x:c r="F21" s="30"/>
    </x:row>
    <x:row r="22">
      <x:c r="A22" s="30" t="str">
        <x:v>P007</x:v>
      </x:c>
      <x:c r="B22" s="30" t="str">
        <x:v>虾仁蒸蛋</x:v>
      </x:c>
      <x:c r="C22" s="30" t="str">
        <x:v>虾仁</x:v>
      </x:c>
      <x:c r="D22" s="30" t="str">
        <x:v>1</x:v>
      </x:c>
      <x:c r="E22" s="30" t="str">
        <x:v>规则已确认；补基础食材来源后重算并转ACTIVE</x:v>
      </x:c>
      <x:c r="F22" s="30"/>
    </x:row>
    <x:row r="23">
      <x:c r="A23" s="30" t="str">
        <x:v>P010</x:v>
      </x:c>
      <x:c r="B23" s="30" t="str">
        <x:v>西兰花虾仁</x:v>
      </x:c>
      <x:c r="C23" s="30" t="str">
        <x:v>虾仁</x:v>
      </x:c>
      <x:c r="D23" s="30" t="str">
        <x:v>0.5,0.75,1,1.25,1.5</x:v>
      </x:c>
      <x:c r="E23" s="30" t="str">
        <x:v>规则已确认；补基础食材来源后重算并转ACTIVE</x:v>
      </x:c>
      <x:c r="F23" s="30"/>
    </x:row>
    <x:row r="24">
      <x:c r="A24" s="30" t="str">
        <x:v>P013</x:v>
      </x:c>
      <x:c r="B24" s="30" t="str">
        <x:v>冬瓜豆腐虾仁汤</x:v>
      </x:c>
      <x:c r="C24" s="30" t="str">
        <x:v>虾仁</x:v>
      </x:c>
      <x:c r="D24" s="30" t="str">
        <x:v>0.75,1,1.25</x:v>
      </x:c>
      <x:c r="E24" s="30" t="str">
        <x:v>规则已确认；补基础食材来源后重算并转ACTIVE</x:v>
      </x:c>
      <x:c r="F24" s="30"/>
    </x:row>
    <x:row r="25">
      <x:c r="A25" s="30" t="str">
        <x:v>P015</x:v>
      </x:c>
      <x:c r="B25" s="30" t="str">
        <x:v>低脂奶蛋组合</x:v>
      </x:c>
      <x:c r="C25" s="30" t="str">
        <x:v>低脂牛奶</x:v>
      </x:c>
      <x:c r="D25" s="30" t="str">
        <x:v>1</x:v>
      </x:c>
      <x:c r="E25" s="30" t="str">
        <x:v>规则已确认；补基础食材来源后重算并转ACTIVE</x:v>
      </x:c>
      <x:c r="F25" s="30"/>
    </x:row>
    <x:row r="26">
      <x:c r="A26" s="30" t="str">
        <x:v>V005</x:v>
      </x:c>
      <x:c r="B26" s="30" t="str">
        <x:v>芹菜木耳</x:v>
      </x:c>
      <x:c r="C26" s="30" t="str">
        <x:v>木耳鲜</x:v>
      </x:c>
      <x:c r="D26" s="30" t="str">
        <x:v>0.5,0.75,1,1.25</x:v>
      </x:c>
      <x:c r="E26" s="30" t="str">
        <x:v>规则已确认；补基础食材来源后重算并转ACTIVE</x:v>
      </x:c>
      <x:c r="F26" s="30"/>
    </x:row>
    <x:row r="27">
      <x:c r="A27" s="30" t="str">
        <x:v>S001</x:v>
      </x:c>
      <x:c r="B27" s="30" t="str">
        <x:v>低脂奶+苹果</x:v>
      </x:c>
      <x:c r="C27" s="30" t="str">
        <x:v>低脂牛奶</x:v>
      </x:c>
      <x:c r="D27" s="30" t="str">
        <x:v>1</x:v>
      </x:c>
      <x:c r="E27" s="30" t="str">
        <x:v>规则已确认；补基础食材来源后重算并转ACTIVE</x:v>
      </x:c>
      <x:c r="F27" s="30"/>
    </x:row>
    <x:row r="28">
      <x:c r="A28" s="30" t="str">
        <x:v>S002</x:v>
      </x:c>
      <x:c r="B28" s="30" t="str">
        <x:v>无糖酸奶+草莓</x:v>
      </x:c>
      <x:c r="C28" s="30" t="str">
        <x:v>无糖酸奶</x:v>
      </x:c>
      <x:c r="D28" s="30" t="str">
        <x:v>1</x:v>
      </x:c>
      <x:c r="E28" s="30" t="str">
        <x:v>规则已确认；无糖酸奶按包装净含量g执行；补基础食材来源后重算并转ACTIVE。</x:v>
      </x:c>
      <x:c r="F28" s="30"/>
    </x:row>
    <x:row r="29">
      <x:c r="A29" s="30" t="str">
        <x:v>S003</x:v>
      </x:c>
      <x:c r="B29" s="30" t="str">
        <x:v>无糖豆浆+梨</x:v>
      </x:c>
      <x:c r="C29" s="30" t="str">
        <x:v>无糖豆浆</x:v>
      </x:c>
      <x:c r="D29" s="30" t="str">
        <x:v>1</x:v>
      </x:c>
      <x:c r="E29" s="30" t="str">
        <x:v>规则已确认；补基础食材来源后重算并转ACTIVE</x:v>
      </x:c>
      <x:c r="F29" s="30"/>
    </x:row>
    <x:row r="30">
      <x:c r="A30" s="30" t="str">
        <x:v>S004</x:v>
      </x:c>
      <x:c r="B30" s="30" t="str">
        <x:v>低脂奶+小香蕉</x:v>
      </x:c>
      <x:c r="C30" s="30" t="str">
        <x:v>低脂牛奶</x:v>
      </x:c>
      <x:c r="D30" s="30" t="str">
        <x:v>1</x:v>
      </x:c>
      <x:c r="E30" s="30" t="str">
        <x:v>规则已确认；补基础食材来源后重算并转ACTIVE</x:v>
      </x:c>
      <x:c r="F30" s="30"/>
    </x:row>
    <x:row r="31">
      <x:c r="A31" s="30" t="str">
        <x:v>S005</x:v>
      </x:c>
      <x:c r="B31" s="30" t="str">
        <x:v>无糖酸奶+核桃</x:v>
      </x:c>
      <x:c r="C31" s="30" t="str">
        <x:v>无糖酸奶</x:v>
      </x:c>
      <x:c r="D31" s="30" t="str">
        <x:v>1</x:v>
      </x:c>
      <x:c r="E31" s="30" t="str">
        <x:v>规则已确认；无糖酸奶按包装净含量g执行；补基础食材来源后重算并转ACTIVE。</x:v>
      </x:c>
      <x:c r="F31" s="30"/>
    </x:row>
    <x:row r="32">
      <x:c r="A32" s="30" t="str">
        <x:v>S006</x:v>
      </x:c>
      <x:c r="B32" s="30" t="str">
        <x:v>低脂奶+橙</x:v>
      </x:c>
      <x:c r="C32" s="30" t="str">
        <x:v>低脂牛奶</x:v>
      </x:c>
      <x:c r="D32" s="30" t="str">
        <x:v>1</x:v>
      </x:c>
      <x:c r="E32" s="30" t="str">
        <x:v>规则已确认；补基础食材来源后重算并转ACTIVE</x:v>
      </x:c>
      <x:c r="F32" s="30"/>
    </x:row>
    <x:row r="33">
      <x:c r="A33" s="30" t="str">
        <x:v>S007</x:v>
      </x:c>
      <x:c r="B33" s="30" t="str">
        <x:v>苹果+杏仁</x:v>
      </x:c>
      <x:c r="C33" s="30" t="str">
        <x:v>杏仁</x:v>
      </x:c>
      <x:c r="D33" s="30" t="str">
        <x:v>1</x:v>
      </x:c>
      <x:c r="E33" s="30" t="str">
        <x:v>规则已确认；补基础食材来源后重算并转ACTIVE</x:v>
      </x:c>
      <x:c r="F33" s="30"/>
    </x:row>
    <x:row r="34">
      <x:c r="A34" s="30" t="str">
        <x:v>S008</x:v>
      </x:c>
      <x:c r="B34" s="30" t="str">
        <x:v>鲜玉米+低脂奶</x:v>
      </x:c>
      <x:c r="C34" s="30" t="str">
        <x:v>低脂牛奶</x:v>
      </x:c>
      <x:c r="D34" s="30" t="str">
        <x:v>1</x:v>
      </x:c>
      <x:c r="E34" s="30" t="str">
        <x:v>规则已确认；补基础食材来源后重算并转ACTIVE</x:v>
      </x:c>
      <x:c r="F34" s="30"/>
    </x:row>
    <x:row r="35">
      <x:c r="A35" s="30" t="str">
        <x:v>S010</x:v>
      </x:c>
      <x:c r="B35" s="30" t="str">
        <x:v>猕猴桃+无糖酸奶</x:v>
      </x:c>
      <x:c r="C35" s="30" t="str">
        <x:v>无糖酸奶</x:v>
      </x:c>
      <x:c r="D35" s="30" t="str">
        <x:v>1</x:v>
      </x:c>
      <x:c r="E35" s="30" t="str">
        <x:v>规则已确认；无糖酸奶按包装净含量g执行；补基础食材来源后重算并转ACTIVE。</x:v>
      </x:c>
      <x:c r="F35" s="30"/>
    </x:row>
    <x:row r="36">
      <x:c r="A36" s="30"/>
      <x:c r="B36" s="30"/>
      <x:c r="C36" s="30"/>
      <x:c r="D36" s="30"/>
      <x:c r="E36" s="30"/>
      <x:c r="F36" s="30"/>
    </x:row>
    <x:row r="37">
      <x:c r="A37" s="30"/>
      <x:c r="B37" s="30"/>
      <x:c r="C37" s="30"/>
      <x:c r="D37" s="30"/>
      <x:c r="E37" s="30"/>
      <x:c r="F37" s="30"/>
    </x:row>
    <x:row r="38">
      <x:c r="A38" s="30"/>
      <x:c r="B38" s="30"/>
      <x:c r="C38" s="30"/>
      <x:c r="D38" s="30"/>
      <x:c r="E38" s="30"/>
      <x:c r="F38" s="30"/>
    </x:row>
    <x:row r="39">
      <x:c r="A39" s="30"/>
      <x:c r="B39" s="30"/>
      <x:c r="C39" s="30"/>
      <x:c r="D39" s="30"/>
      <x:c r="E39" s="30"/>
      <x:c r="F39" s="30"/>
    </x:row>
    <x:row r="40">
      <x:c r="A40" s="30"/>
      <x:c r="B40" s="30"/>
      <x:c r="C40" s="30"/>
      <x:c r="D40" s="30"/>
      <x:c r="E40" s="30"/>
      <x:c r="F40" s="30"/>
    </x:row>
    <x:row r="41">
      <x:c r="A41" s="30"/>
      <x:c r="B41" s="30"/>
      <x:c r="C41" s="30"/>
      <x:c r="D41" s="30"/>
      <x:c r="E41" s="30"/>
      <x:c r="F41" s="30"/>
    </x:row>
    <x:row r="42">
      <x:c r="A42" s="30"/>
      <x:c r="B42" s="30"/>
      <x:c r="C42" s="30"/>
      <x:c r="D42" s="30"/>
      <x:c r="E42" s="30"/>
      <x:c r="F42" s="30"/>
    </x:row>
    <x:row r="43">
      <x:c r="A43" s="30"/>
      <x:c r="B43" s="30"/>
      <x:c r="C43" s="30"/>
      <x:c r="D43" s="30"/>
      <x:c r="E43" s="30"/>
      <x:c r="F43" s="30"/>
    </x:row>
    <x:row r="44">
      <x:c r="A44" s="30"/>
      <x:c r="B44" s="30"/>
      <x:c r="C44" s="30"/>
      <x:c r="D44" s="30"/>
      <x:c r="E44" s="30"/>
      <x:c r="F44" s="30"/>
    </x:row>
    <x:row r="45">
      <x:c r="A45" s="30"/>
      <x:c r="B45" s="30"/>
      <x:c r="C45" s="30"/>
      <x:c r="D45" s="30"/>
      <x:c r="E45" s="30"/>
      <x:c r="F45" s="30"/>
    </x:row>
    <x:row r="46">
      <x:c r="A46" s="30"/>
      <x:c r="B46" s="30"/>
      <x:c r="C46" s="30"/>
      <x:c r="D46" s="30"/>
      <x:c r="E46" s="30"/>
      <x:c r="F46" s="30"/>
    </x:row>
    <x:row r="47">
      <x:c r="A47" s="30"/>
      <x:c r="B47" s="30"/>
      <x:c r="C47" s="30"/>
      <x:c r="D47" s="30"/>
      <x:c r="E47" s="30"/>
      <x:c r="F47" s="30"/>
    </x:row>
    <x:row r="48">
      <x:c r="A48" s="30"/>
      <x:c r="B48" s="30"/>
      <x:c r="C48" s="30"/>
      <x:c r="D48" s="30"/>
      <x:c r="E48" s="30"/>
      <x:c r="F48" s="30"/>
    </x:row>
    <x:row r="49">
      <x:c r="A49" s="30"/>
      <x:c r="B49" s="30"/>
      <x:c r="C49" s="30"/>
      <x:c r="D49" s="30"/>
      <x:c r="E49" s="30"/>
      <x:c r="F49" s="30"/>
    </x:row>
    <x:row r="50">
      <x:c r="A50" s="30"/>
      <x:c r="B50" s="30"/>
      <x:c r="C50" s="30"/>
      <x:c r="D50" s="30"/>
      <x:c r="E50" s="30"/>
      <x:c r="F50" s="30"/>
    </x:row>
    <x:row r="51">
      <x:c r="A51" s="30"/>
      <x:c r="B51" s="30"/>
      <x:c r="C51" s="30"/>
      <x:c r="D51" s="30"/>
      <x:c r="E51" s="30"/>
      <x:c r="F51" s="30"/>
    </x:row>
    <x:row r="52">
      <x:c r="A52" s="30"/>
      <x:c r="B52" s="30"/>
      <x:c r="C52" s="30"/>
      <x:c r="D52" s="30"/>
      <x:c r="E52" s="30"/>
      <x:c r="F52" s="30"/>
    </x:row>
    <x:row r="53">
      <x:c r="A53" s="30"/>
      <x:c r="B53" s="30"/>
      <x:c r="C53" s="30"/>
      <x:c r="D53" s="30"/>
      <x:c r="E53" s="30"/>
      <x:c r="F53" s="30"/>
    </x:row>
    <x:row r="54">
      <x:c r="A54" s="30"/>
      <x:c r="B54" s="30"/>
      <x:c r="C54" s="30"/>
      <x:c r="D54" s="30"/>
      <x:c r="E54" s="30"/>
      <x:c r="F54" s="30"/>
    </x:row>
    <x:row r="55">
      <x:c r="A55" s="30"/>
      <x:c r="B55" s="30"/>
      <x:c r="C55" s="30"/>
      <x:c r="D55" s="30"/>
      <x:c r="E55" s="30"/>
      <x:c r="F55" s="30"/>
    </x:row>
    <x:row r="56">
      <x:c r="A56" s="30"/>
      <x:c r="B56" s="30"/>
      <x:c r="C56" s="30"/>
      <x:c r="D56" s="30"/>
      <x:c r="E56" s="30"/>
      <x:c r="F56" s="30"/>
    </x:row>
    <x:row r="57">
      <x:c r="A57" s="30"/>
      <x:c r="B57" s="30"/>
      <x:c r="C57" s="30"/>
      <x:c r="D57" s="30"/>
      <x:c r="E57" s="30"/>
      <x:c r="F57" s="30"/>
    </x:row>
    <x:row r="58">
      <x:c r="A58" s="30"/>
      <x:c r="B58" s="30"/>
      <x:c r="C58" s="30"/>
      <x:c r="D58" s="30"/>
      <x:c r="E58" s="30"/>
      <x:c r="F58" s="30"/>
    </x:row>
    <x:row r="59">
      <x:c r="A59" s="30"/>
      <x:c r="B59" s="30"/>
      <x:c r="C59" s="30"/>
      <x:c r="D59" s="30"/>
      <x:c r="E59" s="30"/>
      <x:c r="F59" s="30"/>
    </x:row>
    <x:row r="60">
      <x:c r="A60" s="30"/>
      <x:c r="B60" s="30"/>
      <x:c r="C60" s="30"/>
      <x:c r="D60" s="30"/>
      <x:c r="E60" s="30"/>
      <x:c r="F60" s="30"/>
    </x:row>
  </x:sheetData>
  <x:mergeCells>
    <x:mergeCell ref="A1:F1"/>
    <x:mergeCell ref="A3:F3"/>
  </x:mergeCells>
  <x:pageMargins left="0.7" right="0.7" top="0.75" bottom="0.75" header="0.3" footer="0.3"/>
</x:worksheet>
</file>