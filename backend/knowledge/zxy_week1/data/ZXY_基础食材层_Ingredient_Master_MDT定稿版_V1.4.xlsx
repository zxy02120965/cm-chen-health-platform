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d519c7c98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与摘要" sheetId="1" r:id="R2349ba3a0cc3462a"/>
    <x:sheet xmlns:r="http://schemas.openxmlformats.org/officeDocument/2006/relationships" name="Ingredient_Master_MDT" sheetId="2" r:id="Rf7ccc230d051496b"/>
    <x:sheet xmlns:r="http://schemas.openxmlformats.org/officeDocument/2006/relationships" name="组件→食材映射" sheetId="3" r:id="Rb110a7d9213c49aa"/>
    <x:sheet xmlns:r="http://schemas.openxmlformats.org/officeDocument/2006/relationships" name="动态菜品生成规则" sheetId="4" r:id="Re552de3381b44497"/>
    <x:sheet xmlns:r="http://schemas.openxmlformats.org/officeDocument/2006/relationships" name="指南与证据" sheetId="5" r:id="Rad87013eab9343b3"/>
    <x:sheet xmlns:r="http://schemas.openxmlformats.org/officeDocument/2006/relationships" name="重点MDT审核" sheetId="6" r:id="R5a052a5b92a54778"/>
    <x:sheet xmlns:r="http://schemas.openxmlformats.org/officeDocument/2006/relationships" name="MDT定稿结论" sheetId="7" r:id="R00561cbef4ba44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sz val="10"/>
      <x:color rgb="FF1F1F1F"/>
      <x:name val="Arial"/>
    </x:font>
    <x:font>
      <x:b/>
      <x:sz val="14"/>
      <x:color rgb="FFFFFFFF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C55A11"/>
      </x:patternFill>
    </x:fill>
    <x:fill>
      <x:patternFill patternType="solid">
        <x:fgColor rgb="FF17365D"/>
      </x:patternFill>
    </x:fill>
    <x:fill>
      <x:patternFill patternType="solid">
        <x:fgColor rgb="FFD9EAD3"/>
      </x:patternFill>
    </x:fill>
    <x:fill>
      <x:patternFill patternType="solid">
        <x:fgColor rgb="FF548235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C55A11"/>
      </x:patternFill>
    </x:fill>
  </x:fills>
  <x:borders count="11">
    <x:border/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0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left"/>
    </x:xf>
    <x:xf numFmtId="0" fontId="3" fillId="9" borderId="0" xfId="0" applyNumberFormat="1" applyFont="1" applyFill="1" applyBorder="1" applyAlignment="1">
      <x:alignment horizontal="left" vertical="center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horizontal="left"/>
    </x:xf>
    <x:xf numFmtId="0" fontId="3" fillId="9" borderId="1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0" fillId="10" borderId="1" xfId="0" applyNumberFormat="1" applyFont="1" applyFill="1" applyBorder="1"/>
    <x:xf numFmtId="0" fontId="2" fillId="10" borderId="1" xfId="0" applyNumberFormat="1" applyFont="1" applyFill="1" applyBorder="1"/>
    <x:xf numFmtId="0" fontId="3" fillId="9" borderId="0" xfId="0" applyNumberFormat="1" applyFont="1" applyFill="1" applyBorder="1" applyAlignment="1">
      <x:alignment horizontal="left" vertical="center" wrapText="1"/>
    </x:xf>
    <x:xf numFmtId="0" fontId="2" fillId="10" borderId="0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left" vertical="center" wrapText="1"/>
    </x:xf>
    <x:xf numFmtId="0" fontId="2" fillId="1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/>
    </x:xf>
    <x:xf numFmtId="0" fontId="4" fillId="0" borderId="9" xfId="0" applyNumberFormat="1" applyFont="1" applyFill="1" applyBorder="1" applyAlignment="1">
      <x:alignment vertical="top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>
          <x:bgColor rgb="FFF4CCC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0eca5c34fa4ee5" /><Relationship Type="http://schemas.openxmlformats.org/officeDocument/2006/relationships/theme" Target="/xl/theme/theme1.xml" Id="R6169daf0deeb456c" /><Relationship Type="http://schemas.openxmlformats.org/officeDocument/2006/relationships/sharedStrings" Target="/xl/sharedStrings.xml" Id="R4f9cd76d70b94f60" /><Relationship Type="http://schemas.openxmlformats.org/officeDocument/2006/relationships/worksheet" Target="/xl/worksheets/sheet1.xml" Id="R2349ba3a0cc3462a" /><Relationship Type="http://schemas.openxmlformats.org/officeDocument/2006/relationships/worksheet" Target="/xl/worksheets/sheet2.xml" Id="Rf7ccc230d051496b" /><Relationship Type="http://schemas.openxmlformats.org/officeDocument/2006/relationships/worksheet" Target="/xl/worksheets/sheet3.xml" Id="Rb110a7d9213c49aa" /><Relationship Type="http://schemas.openxmlformats.org/officeDocument/2006/relationships/worksheet" Target="/xl/worksheets/sheet4.xml" Id="Re552de3381b44497" /><Relationship Type="http://schemas.openxmlformats.org/officeDocument/2006/relationships/worksheet" Target="/xl/worksheets/sheet5.xml" Id="Rad87013eab9343b3" /><Relationship Type="http://schemas.openxmlformats.org/officeDocument/2006/relationships/worksheet" Target="/xl/worksheets/sheet6.xml" Id="R5a052a5b92a54778" /><Relationship Type="http://schemas.openxmlformats.org/officeDocument/2006/relationships/worksheet" Target="/xl/worksheets/sheet7.xml" Id="R00561cbef4ba44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26aa4bec72445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基础食材营养源状态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'使用说明与摘要'!$D$16:$D$21</c:f>
              <c:strCache>
                <c:ptCount val="0"/>
              </c:strCache>
            </c:strRef>
          </c:cat>
          <c:val>
            <c:numRef>
              <c:f>'使用说明与摘要'!$E$16:$E$21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22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26aa4bec72445e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gredientMasterTable" displayName="IngredientMasterTable" ref="A1:AM49" headerRowCount="1" totalsRowCount="0" totalsRowShown="0">
  <x:tableColumns count="39">
    <x:tableColumn id="1" name="ingredient_id"/>
    <x:tableColumn id="2" name="ingredient_name"/>
    <x:tableColumn id="3" name="标准化/来源食物名称"/>
    <x:tableColumn id="4" name="category"/>
    <x:tableColumn id="5" name="subcategory"/>
    <x:tableColumn id="6" name="used_in_components"/>
    <x:tableColumn id="7" name="nutrition_source_status"/>
    <x:tableColumn id="8" name="source_energy_kJ_per100g"/>
    <x:tableColumn id="9" name="project_kcal_override_per100g"/>
    <x:tableColumn id="10" name="energy_kcal_per100g"/>
    <x:tableColumn id="11" name="protein_g_per100g"/>
    <x:tableColumn id="12" name="carbohydrate_g_per100g"/>
    <x:tableColumn id="13" name="fat_g_per100g"/>
    <x:tableColumn id="14" name="source_url"/>
    <x:tableColumn id="15" name="weight_basis"/>
    <x:tableColumn id="16" name="execution_unit"/>
    <x:tableColumn id="17" name="candidate_min"/>
    <x:tableColumn id="18" name="candidate_max"/>
    <x:tableColumn id="19" name="candidate_step"/>
    <x:tableColumn id="20" name="离散单位/包装规则"/>
    <x:tableColumn id="21" name="家庭量候选"/>
    <x:tableColumn id="22" name="AI使用策略"/>
    <x:tableColumn id="23" name="allergy_tags"/>
    <x:tableColumn id="24" name="耐受/食品卫生备注"/>
    <x:tableColumn id="25" name="disease_review_tags"/>
    <x:tableColumn id="26" name="texture_tags"/>
    <x:tableColumn id="27" name="D型适用性"/>
    <x:tableColumn id="28" name="E型适用性"/>
    <x:tableColumn id="29" name="D/E备注"/>
    <x:tableColumn id="30" name="执行与重算说明"/>
    <x:tableColumn id="31" name="份量边界依据"/>
    <x:tableColumn id="32" name="证据性质"/>
    <x:tableColumn id="33" name="MDT审核优先级"/>
    <x:tableColumn id="34" name="knowledge_status"/>
    <x:tableColumn id="35" name="MDT审核状态"/>
    <x:tableColumn id="36" name="MDT意见"/>
    <x:tableColumn id="37" name="审核人"/>
    <x:tableColumn id="38" name="审核日期"/>
    <x:tableColumn id="39" name="candidate_data_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onentIngredientMapTable" displayName="ComponentIngredientMapTable" ref="A1:J111" headerRowCount="1" totalsRowCount="0" totalsRowShown="0">
  <x:tableColumns count="10">
    <x:tableColumn id="1" name="component_id"/>
    <x:tableColumn id="2" name="component_name"/>
    <x:tableColumn id="3" name="ingredient_id"/>
    <x:tableColumn id="4" name="ingredient_name"/>
    <x:tableColumn id="5" name="base_amount"/>
    <x:tableColumn id="6" name="base_unit"/>
    <x:tableColumn id="7" name="Ingredient_Master_weight_basis"/>
    <x:tableColumn id="8" name="nutrition_source_status"/>
    <x:tableColumn id="9" name="source_url"/>
    <x:tableColumn id="10" name="mapping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c381ce3f593412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c33d5283cb43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ce17c31b4c4be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5" hidden="0" customWidth="1"/>
    <x:col min="3" max="3" width="4" hidden="0" customWidth="1"/>
    <x:col min="4" max="4" width="28" hidden="0" customWidth="1"/>
    <x:col min="5" max="5" width="16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50" t="str">
        <x:v>ZXY 基础食材层（Ingredient Master）营养学审定完善版 V1.3</x:v>
      </x:c>
      <x:c r="B1" s="50"/>
      <x:c r="C1" s="50"/>
      <x:c r="D1" s="50"/>
      <x:c r="E1" s="50"/>
      <x:c r="F1" s="50"/>
      <x:c r="G1" s="50"/>
      <x:c r="H1" s="50"/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21" t="str">
        <x:v>定位：统一食材身份、营养来源、重量口径和AI候选执行边界。所有min/max/step与疾病适配均为MDT候选；未ACTIVE前不得用于正式处方或自动发布。液体产品应明确营养标签基准为每100ml，避免误按每100g换算。</x:v>
      </x:c>
      <x:c r="B3" s="21"/>
      <x:c r="C3" s="21"/>
      <x:c r="D3" s="21"/>
      <x:c r="E3" s="21"/>
      <x:c r="F3" s="21"/>
      <x:c r="G3" s="21"/>
      <x:c r="H3" s="21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7" t="str">
        <x:v>架构层</x:v>
      </x:c>
      <x:c r="B5" s="7" t="str">
        <x:v>作用</x:v>
      </x:c>
      <x:c r="C5" s="2"/>
      <x:c r="D5" s="7" t="str">
        <x:v>审核指标</x:v>
      </x:c>
      <x:c r="E5" s="7" t="str">
        <x:v>数量</x:v>
      </x:c>
      <x:c r="F5" s="2"/>
      <x:c r="G5" s="2"/>
      <x:c r="H5" s="2"/>
    </x:row>
    <x:row r="6">
      <x:c r="A6" s="2" t="str">
        <x:v>Ingredient Master</x:v>
      </x:c>
      <x:c r="B6" s="2" t="str">
        <x:v>定义基础食材、营养数据源、weight_basis、候选min/max/step、过敏/疾病/质地标签</x:v>
      </x:c>
      <x:c r="C6" s="2"/>
      <x:c r="D6" s="2" t="str">
        <x:v>基础食材总数</x:v>
      </x:c>
      <x:c r="E6" s="2" t="n">
        <x:f>COUNTA(Ingredient_Master_MDT!B2:B49)</x:f>
        <x:v>48</x:v>
      </x:c>
      <x:c r="F6" s="2"/>
      <x:c r="G6" s="2"/>
      <x:c r="H6" s="2"/>
    </x:row>
    <x:row r="7">
      <x:c r="A7" s="2" t="str">
        <x:v>STANDARD_COMPONENT</x:v>
      </x:c>
      <x:c r="B7" s="2" t="str">
        <x:v>复用当前49个标准菜/组合；后台可用component scale，但最终必须物化为g/ml/个</x:v>
      </x:c>
      <x:c r="C7" s="2"/>
      <x:c r="D7" s="2" t="str">
        <x:v>CDC精确条目</x:v>
      </x:c>
      <x:c r="E7" s="2" t="n">
        <x:f>COUNTIF(Ingredient_Master_MDT!G2:G49,"CDC_EXACT")</x:f>
        <x:v>36</x:v>
      </x:c>
      <x:c r="F7" s="2"/>
      <x:c r="G7" s="2"/>
      <x:c r="H7" s="2"/>
    </x:row>
    <x:row r="8">
      <x:c r="A8" s="2" t="str">
        <x:v>AI_GENERATED_DISH</x:v>
      </x:c>
      <x:c r="B8" s="2" t="str">
        <x:v>AI可动态设计患者专属菜，但必须从允许食材生成结构化克重并营养重算</x:v>
      </x:c>
      <x:c r="C8" s="2"/>
      <x:c r="D8" s="2" t="str">
        <x:v>需产品标签</x:v>
      </x:c>
      <x:c r="E8" s="2" t="n">
        <x:f>COUNTIF(Ingredient_Master_MDT!G2:G49,"PRODUCT_LABEL_REQUIRED")</x:f>
        <x:v>4</x:v>
      </x:c>
      <x:c r="F8" s="2"/>
      <x:c r="G8" s="2"/>
      <x:c r="H8" s="2"/>
    </x:row>
    <x:row r="9">
      <x:c r="A9" s="2" t="str">
        <x:v>营养计算服务</x:v>
      </x:c>
      <x:c r="B9" s="2" t="str">
        <x:v>根据最终executable grams/ml逐项计算kcal/P/C/F</x:v>
      </x:c>
      <x:c r="C9" s="2"/>
      <x:c r="D9" s="2" t="str">
        <x:v>需身份/品种确认</x:v>
      </x:c>
      <x:c r="E9" s="2" t="n">
        <x:f>COUNTIF(Ingredient_Master_MDT!G2:G49,"SPECIES_MATCH_REQUIRED")+COUNTIF(Ingredient_Master_MDT!G2:G49,"IDENTITY_REVIEW_REQUIRED")</x:f>
        <x:v>3</x:v>
      </x:c>
      <x:c r="F9" s="2"/>
      <x:c r="G9" s="2"/>
      <x:c r="H9" s="2"/>
    </x:row>
    <x:row r="10">
      <x:c r="A10" s="2" t="str">
        <x:v>医护审核</x:v>
      </x:c>
      <x:c r="B10" s="2" t="str">
        <x:v>确认临床适用性、营养源、份量边界与发布</x:v>
      </x:c>
      <x:c r="C10" s="2"/>
      <x:c r="D10" s="2" t="str">
        <x:v>项目参考/推导待确认</x:v>
      </x:c>
      <x:c r="E10" s="2" t="n">
        <x:f>COUNTIF(Ingredient_Master_MDT!G2:G49,"PROJECT_REFERENCE_PENDING_MDT")+COUNTIF(Ingredient_Master_MDT!G2:G49,"DERIVED_PROJECT_CANDIDATE_PENDING_MDT")</x:f>
        <x:v>4</x:v>
      </x:c>
      <x:c r="F10" s="2"/>
      <x:c r="G10" s="2"/>
      <x:c r="H10" s="2"/>
    </x:row>
    <x:row r="11">
      <x:c r="A11" s="2" t="str">
        <x:v>重要区分</x:v>
      </x:c>
      <x:c r="B11" s="2" t="str">
        <x:v>component_portion_scale ≠ T/CNSS约90kcal食物交换份</x:v>
      </x:c>
      <x:c r="C11" s="2"/>
      <x:c r="D11" s="2" t="str">
        <x:v>高优先级审核</x:v>
      </x:c>
      <x:c r="E11" s="2" t="n">
        <x:f>COUNTIF(Ingredient_Master_MDT!AG2:AG49,"高")</x:f>
        <x:v>11</x:v>
      </x:c>
      <x:c r="F11" s="2"/>
      <x:c r="G11" s="2"/>
      <x:c r="H11" s="2"/>
    </x:row>
    <x:row r="12">
      <x:c r="A12" s="2" t="str">
        <x:v>上线原则</x:v>
      </x:c>
      <x:c r="B12" s="2" t="str">
        <x:v>PENDING_MDT/PENDING_REVIEW不得自动升级为ACTIVE/PUBLISHED</x:v>
      </x:c>
      <x:c r="C12" s="2"/>
      <x:c r="D12" s="2" t="str">
        <x:v>当前ACTIVE</x:v>
      </x:c>
      <x:c r="E12" s="2" t="n">
        <x:f>COUNTIF(Ingredient_Master_MDT!AH2:AH49,"ACTIVE")</x:f>
        <x:v>37</x:v>
      </x:c>
      <x:c r="F12" s="2"/>
      <x:c r="G12" s="2"/>
      <x:c r="H12" s="2"/>
    </x:row>
    <x:row r="13">
      <x:c r="A13" s="2"/>
      <x:c r="B13" s="2"/>
      <x:c r="C13" s="2"/>
      <x:c r="D13" s="2" t="str">
        <x:v>跨表营养差异（超阈值）</x:v>
      </x:c>
      <x:c r="E13" s="2" t="n">
        <x:v>18</x:v>
      </x:c>
      <x:c r="F13" s="2"/>
      <x:c r="G13" s="2"/>
      <x:c r="H13" s="2"/>
    </x:row>
    <x:row r="14">
      <x:c r="A14" s="2" t="str">
        <x:v>审校补充</x:v>
      </x:c>
      <x:c r="B14" s="2" t="str">
        <x:v>已补充疾病指南、更新ESPEN 2025，并新增跨表营养一致性复核；差异项不自动覆盖原组件值。</x:v>
      </x:c>
      <x:c r="C14" s="2"/>
      <x:c r="D14" s="2"/>
      <x:c r="E14" s="2"/>
      <x:c r="F14" s="2"/>
      <x:c r="G14" s="2"/>
      <x:c r="H14" s="2"/>
    </x:row>
    <x:row r="15">
      <x:c r="A15" s="51" t="str">
        <x:v>MDT审核后怎么用</x:v>
      </x:c>
      <x:c r="B15" s="2"/>
      <x:c r="C15" s="2"/>
      <x:c r="D15" s="7" t="str">
        <x:v>营养源状态</x:v>
      </x:c>
      <x:c r="E15" s="7" t="str">
        <x:v>数量</x:v>
      </x:c>
      <x:c r="F15" s="2"/>
      <x:c r="G15" s="2"/>
      <x:c r="H15" s="2"/>
    </x:row>
    <x:row r="16">
      <x:c r="A16" s="2" t="str">
        <x:v>1</x:v>
      </x:c>
      <x:c r="B16" s="2" t="str">
        <x:v>审核并修改Ingredient_Master_MDT中的weight_basis、min/max/step、产品/品种身份、营养源。</x:v>
      </x:c>
      <x:c r="C16" s="2"/>
      <x:c r="D16" s="2" t="str">
        <x:v>CDC_EXACT</x:v>
      </x:c>
      <x:c r="E16" s="2" t="n">
        <x:f>COUNTIF(Ingredient_Master_MDT!G2:G49,"CDC_EXACT")</x:f>
        <x:v>36</x:v>
      </x:c>
      <x:c r="F16" s="2"/>
      <x:c r="G16" s="2"/>
      <x:c r="H16" s="2"/>
    </x:row>
    <x:row r="17">
      <x:c r="A17" s="2" t="str">
        <x:v>2</x:v>
      </x:c>
      <x:c r="B17" s="2" t="str">
        <x:v>将确认行knowledge_status由PENDING_MDT改为ACTIVE；未确认行继续PENDING。</x:v>
      </x:c>
      <x:c r="C17" s="2"/>
      <x:c r="D17" s="2" t="str">
        <x:v>PRODUCT_LABEL_REQUIRED</x:v>
      </x:c>
      <x:c r="E17" s="2" t="n">
        <x:f>COUNTIF(Ingredient_Master_MDT!G2:G49,"PRODUCT_LABEL_REQUIRED")</x:f>
        <x:v>4</x:v>
      </x:c>
      <x:c r="F17" s="2"/>
      <x:c r="G17" s="2"/>
      <x:c r="H17" s="2"/>
    </x:row>
    <x:row r="18">
      <x:c r="A18" s="2" t="str">
        <x:v>3</x:v>
      </x:c>
      <x:c r="B18" s="2" t="str">
        <x:v>STANDARD_COMPONENT使用ACTIVE食材；最终方案物化成g/ml/个。</x:v>
      </x:c>
      <x:c r="C18" s="2"/>
      <x:c r="D18" s="2" t="str">
        <x:v>PROJECT_REFERENCE_PENDING_MDT</x:v>
      </x:c>
      <x:c r="E18" s="2" t="n">
        <x:f>COUNTIF(Ingredient_Master_MDT!G2:G49,"PROJECT_REFERENCE_PENDING_MDT")</x:f>
        <x:v>3</x:v>
      </x:c>
      <x:c r="F18" s="2"/>
      <x:c r="G18" s="2"/>
      <x:c r="H18" s="2"/>
    </x:row>
    <x:row r="19">
      <x:c r="A19" s="2" t="str">
        <x:v>4</x:v>
      </x:c>
      <x:c r="B19" s="2" t="str">
        <x:v>AI_GENERATED_DISH只能从ACTIVE食材直接进入EXACT计算；非ACTIVE食材只能形成审核候选。</x:v>
      </x:c>
      <x:c r="C19" s="2"/>
      <x:c r="D19" s="2" t="str">
        <x:v>DERIVED_PROJECT_CANDIDATE_PENDING_MDT</x:v>
      </x:c>
      <x:c r="E19" s="2" t="n">
        <x:f>COUNTIF(Ingredient_Master_MDT!G2:G49,"DERIVED_PROJECT_CANDIDATE_PENDING_MDT")</x:f>
        <x:v>1</x:v>
      </x:c>
      <x:c r="F19" s="2"/>
      <x:c r="G19" s="2"/>
      <x:c r="H19" s="2"/>
    </x:row>
    <x:row r="20">
      <x:c r="A20" s="2" t="str">
        <x:v>5</x:v>
      </x:c>
      <x:c r="B20" s="2" t="str">
        <x:v>任何克重执行化/替换/新菜配方改变后必须重新计算营养。</x:v>
      </x:c>
      <x:c r="C20" s="2"/>
      <x:c r="D20" s="2" t="str">
        <x:v>SPECIES/IDENTITY REVIEW</x:v>
      </x:c>
      <x:c r="E20" s="2" t="n">
        <x:f>COUNTIF(Ingredient_Master_MDT!G2:G49,"SPECIES_MATCH_REQUIRED")+COUNTIF(Ingredient_Master_MDT!G2:G49,"IDENTITY_REVIEW_REQUIRED")</x:f>
        <x:v>3</x:v>
      </x:c>
      <x:c r="F20" s="2"/>
      <x:c r="G20" s="2"/>
      <x:c r="H20" s="2"/>
    </x:row>
    <x:row r="21">
      <x:c r="A21" s="2" t="str">
        <x:v>6</x:v>
      </x:c>
      <x:c r="B21" s="2" t="str">
        <x:v>确认完本表后，再升级02 FOOD规则和01 Validator；03运动/肺预康复无需因此修改。</x:v>
      </x:c>
      <x:c r="C21" s="2"/>
      <x:c r="D21" s="2" t="str">
        <x:v>STANDARD_DERIVED_GENERIC</x:v>
      </x:c>
      <x:c r="E21" s="2" t="n">
        <x:f>COUNTIF(Ingredient_Master_MDT!G2:G49,"STANDARD_DERIVED_GENERIC")</x:f>
        <x:v>1</x:v>
      </x:c>
      <x:c r="F21" s="2"/>
      <x:c r="G21" s="2"/>
      <x:c r="H21" s="2"/>
    </x:row>
    <x:row r="22">
      <x:c r="A22" s="2" t="str">
        <x:v>7</x:v>
      </x:c>
      <x:c r="B22" s="2" t="str">
        <x:v>本表没有把指南的“每日食物组推荐量”直接当作某一个患者、某一餐、某一食材的处方上下限。</x:v>
      </x:c>
      <x:c r="C22" s="2"/>
      <x:c r="D22" s="2"/>
      <x:c r="E22" s="2"/>
      <x:c r="F22" s="2"/>
      <x:c r="G22" s="2"/>
      <x:c r="H22" s="2"/>
    </x:row>
  </x:sheetData>
  <x:mergeCells>
    <x:mergeCell ref="A1:H1"/>
    <x:mergeCell ref="A3:H3"/>
    <x:mergeCell ref="A15:H15"/>
  </x:mergeCells>
  <x:pageMargins left="0.7" right="0.7" top="0.75" bottom="0.75" header="0.3" footer="0.3"/>
  <x:drawing xmlns:r="http://schemas.openxmlformats.org/officeDocument/2006/relationships" r:id="Rec381ce3f5934129"/>
</x:worksheet>
</file>

<file path=xl/worksheets/sheet2.xml><?xml version="1.0" encoding="utf-8"?>
<worksheet xmlns="http://schemas.openxmlformats.org/spreadsheetml/2006/main" xmlns:ns1="http://schemas.openxmlformats.org/officeDocument/2006/relationships">
  <sheetFormatPr defaultRowHeight="15"/>
  <cols>
    <col min="1" max="1" width="12" hidden="0" customWidth="1"/>
    <col min="2" max="2" width="16" hidden="0" customWidth="1"/>
    <col min="3" max="3" width="34" hidden="0" customWidth="1"/>
    <col min="4" max="4" width="16" hidden="0" customWidth="1"/>
    <col min="5" max="5" width="18" hidden="0" customWidth="1"/>
    <col min="6" max="6" width="24" hidden="0" customWidth="1"/>
    <col min="7" max="7" width="30" hidden="0" customWidth="1"/>
    <col min="8" max="8" width="16" hidden="0" customWidth="1"/>
    <col min="9" max="9" width="20" hidden="0" customWidth="1"/>
    <col min="10" max="10" width="16" hidden="0" customWidth="1"/>
    <col min="11" max="11" width="14" hidden="0" customWidth="1"/>
    <col min="12" max="12" width="16" hidden="0" customWidth="1"/>
    <col min="13" max="13" width="14" hidden="0" customWidth="1"/>
    <col min="14" max="14" width="46" hidden="0" customWidth="1"/>
    <col min="15" max="15" width="30" hidden="0" customWidth="1"/>
    <col min="16" max="16" width="14" hidden="0" customWidth="1"/>
    <col min="17" max="17" width="12" hidden="0" customWidth="1"/>
    <col min="18" max="18" width="12" hidden="0" customWidth="1"/>
    <col min="19" max="19" width="12" hidden="0" customWidth="1"/>
    <col min="20" max="20" width="38" hidden="0" customWidth="1"/>
    <col min="21" max="21" width="30" hidden="0" customWidth="1"/>
    <col min="22" max="22" width="40" hidden="0" customWidth="1"/>
    <col min="23" max="23" width="20" hidden="0" customWidth="1"/>
    <col min="24" max="24" width="38" hidden="0" customWidth="1"/>
    <col min="25" max="25" width="34" hidden="0" customWidth="1"/>
    <col min="26" max="26" width="28" hidden="0" customWidth="1"/>
    <col min="27" max="27" width="12" hidden="0" customWidth="1"/>
    <col min="28" max="28" width="12" hidden="0" customWidth="1"/>
    <col min="29" max="29" width="42" hidden="0" customWidth="1"/>
    <col min="30" max="30" width="55" hidden="0" customWidth="1"/>
    <col min="31" max="31" width="55" hidden="0" customWidth="1"/>
    <col min="32" max="32" width="28" hidden="0" customWidth="1"/>
    <col min="33" max="33" width="12" hidden="0" customWidth="1"/>
    <col min="34" max="34" width="16" hidden="0" customWidth="1"/>
    <col min="35" max="35" width="14" hidden="0" customWidth="1"/>
    <col min="36" max="36" width="28" hidden="0" customWidth="1"/>
    <col min="37" max="37" width="12" hidden="0" customWidth="1"/>
    <col min="38" max="38" width="14" hidden="0" customWidth="1"/>
    <col min="39" max="39" width="20" hidden="0" customWidth="1"/>
    <col min="40" max="40" width="18" hidden="0" customWidth="1"/>
    <col min="41" max="41" width="30" hidden="0" customWidth="1"/>
    <col min="42" max="42" width="52" hidden="0" customWidth="1"/>
  </cols>
  <sheetData>
    <row r="1">
      <c r="A1" s="7" t="str">
        <v>ingredient_id</v>
      </c>
      <c r="B1" s="7" t="str">
        <v>ingredient_name</v>
      </c>
      <c r="C1" s="7" t="str">
        <v>标准化/来源食物名称</v>
      </c>
      <c r="D1" s="7" t="str">
        <v>category</v>
      </c>
      <c r="E1" s="7" t="str">
        <v>subcategory</v>
      </c>
      <c r="F1" s="7" t="str">
        <v>used_in_components</v>
      </c>
      <c r="G1" s="7" t="str">
        <v>nutrition_source_status</v>
      </c>
      <c r="H1" s="7" t="str">
        <v>source_energy_kJ_per100g</v>
      </c>
      <c r="I1" s="7" t="str">
        <v>project_kcal_override_per100g</v>
      </c>
      <c r="J1" s="7" t="str">
        <v>energy_kcal_per100g</v>
      </c>
      <c r="K1" s="7" t="str">
        <v>protein_g_per100g</v>
      </c>
      <c r="L1" s="7" t="str">
        <v>carbohydrate_g_per100g</v>
      </c>
      <c r="M1" s="7" t="str">
        <v>fat_g_per100g</v>
      </c>
      <c r="N1" s="7" t="str">
        <v>source_url</v>
      </c>
      <c r="O1" s="7" t="str">
        <v>weight_basis</v>
      </c>
      <c r="P1" s="7" t="str">
        <v>execution_unit</v>
      </c>
      <c r="Q1" s="7" t="str">
        <v>candidate_min</v>
      </c>
      <c r="R1" s="7" t="str">
        <v>candidate_max</v>
      </c>
      <c r="S1" s="7" t="str">
        <v>candidate_step</v>
      </c>
      <c r="T1" s="7" t="str">
        <v>离散单位/包装规则</v>
      </c>
      <c r="U1" s="7" t="str">
        <v>家庭量候选</v>
      </c>
      <c r="V1" s="7" t="str">
        <v>AI使用策略</v>
      </c>
      <c r="W1" s="7" t="str">
        <v>allergy_tags</v>
      </c>
      <c r="X1" s="7" t="str">
        <v>耐受/食品卫生备注</v>
      </c>
      <c r="Y1" s="7" t="str">
        <v>disease_review_tags</v>
      </c>
      <c r="Z1" s="7" t="str">
        <v>texture_tags</v>
      </c>
      <c r="AA1" s="7" t="str">
        <v>D型适用性</v>
      </c>
      <c r="AB1" s="7" t="str">
        <v>E型适用性</v>
      </c>
      <c r="AC1" s="7" t="str">
        <v>D/E备注</v>
      </c>
      <c r="AD1" s="7" t="str">
        <v>执行与重算说明</v>
      </c>
      <c r="AE1" s="7" t="str">
        <v>份量边界依据</v>
      </c>
      <c r="AF1" s="7" t="str">
        <v>证据性质</v>
      </c>
      <c r="AG1" s="7" t="str">
        <v>MDT审核优先级</v>
      </c>
      <c r="AH1" s="7" t="str">
        <v>knowledge_status</v>
      </c>
      <c r="AI1" s="7" t="str">
        <v>MDT审核状态</v>
      </c>
      <c r="AJ1" s="7" t="str">
        <v>MDT意见</v>
      </c>
      <c r="AK1" s="7" t="str">
        <v>审核人</v>
      </c>
      <c r="AL1" s="7" t="str">
        <v>审核日期</v>
      </c>
      <c r="AM1" s="7" t="str">
        <v>candidate_data_check</v>
      </c>
      <c r="AN1" s="74" t="str">
        <v>nutrition_basis</v>
      </c>
      <c r="AO1" s="74" t="str">
        <v>MDT_final_decision</v>
      </c>
      <c r="AP1" s="74" t="str">
        <v>final_use_note</v>
      </c>
    </row>
    <row r="2">
      <c r="A2" s="2" t="str">
        <v>ING001</v>
      </c>
      <c r="B2" s="2" t="str">
        <v>全麦面包</v>
      </c>
      <c r="C2" s="2" t="str">
        <v>全麦面包（项目现有标准值；实际产品标签优先）</v>
      </c>
      <c r="D2" s="2" t="str">
        <v>主食/谷薯杂豆</v>
      </c>
      <c r="E2" s="2" t="str">
        <v>全谷/成品主食</v>
      </c>
      <c r="F2" s="2" t="str">
        <v>C011</v>
      </c>
      <c r="G2" s="12" t="str">
        <v>PRODUCT_LABEL_REQUIRED</v>
      </c>
      <c r="H2" s="12"/>
      <c r="I2" s="12" t="n">
        <v>245.7</v>
      </c>
      <c r="J2" s="12" t="n">
        <f>IF(H2&lt;&gt;"",ROUND(H2/4.184,1),I2)</f>
        <v>245.7</v>
      </c>
      <c r="K2" s="12" t="n">
        <v>9</v>
      </c>
      <c r="L2" s="12" t="n">
        <v>41</v>
      </c>
      <c r="M2" s="12" t="n">
        <v>4.1</v>
      </c>
      <c r="N2" s="12" t="str">
        <v>https://nlc.chinanutri.cn/fq/</v>
      </c>
      <c r="O2" s="14" t="str">
        <v>ready_to_eat_net_weight（成品净重）</v>
      </c>
      <c r="P2" s="14" t="str">
        <v>g</v>
      </c>
      <c r="Q2" s="14" t="n">
        <v>25</v>
      </c>
      <c r="R2" s="14" t="n">
        <v>100</v>
      </c>
      <c r="S2" s="14" t="n">
        <v>5</v>
      </c>
      <c r="T2" s="14" t="str">
        <v>成品按净重；营养以实际包装标签优先</v>
      </c>
      <c r="U2" s="14" t="str">
        <v>片数仅辅助；必须读取每片/包装净重与营养标签</v>
      </c>
      <c r="V2" s="16" t="str">
        <v>可用于结构候选；EXACT模式前必须绑定实际产品营养标签</v>
      </c>
      <c r="W2" s="16" t="str"/>
      <c r="X2" s="16" t="str">
        <v>早饱、消化耐受差或术前窗口很短时不机械增加粗杂粮</v>
      </c>
      <c r="Y2" s="16" t="str">
        <v>glucose/metabolic_review,product_sodium/sugar_label_review</v>
      </c>
      <c r="Z2" s="16" t="str">
        <v>normal; soft-if-needed</v>
      </c>
      <c r="AA2" s="16" t="str">
        <v>可用</v>
      </c>
      <c r="AB2" s="16" t="str">
        <v>条件可用</v>
      </c>
      <c r="AC2" s="16" t="str">
        <v>D/E若有早饱、恶心、胀气或总摄入不足，完成率优先，可换更易入口主食。</v>
      </c>
      <c r="AD2" s="16" t="str">
        <v>AI可提出候选克重；必须在min/max/step内执行化。任何取整、替换、配方改变后由认可营养计算源重算；患者端显示g/ml/个，不能只显示“份”。</v>
      </c>
      <c r="AE2" s="16" t="str">
        <v>ZXY项目工程候选：参考T/CNSS交换份、中国居民膳食指南的食物组范围、当前49组件base用量和家庭可执行性；不是指南直接规定的单项处方边界。</v>
      </c>
      <c r="AF2" s="16" t="str">
        <v>项目候选/标签/身份确认+项目执行规则</v>
      </c>
      <c r="AG2" s="16" t="str">
        <v>高</v>
      </c>
      <c r="AH2" s="18" t="str">
        <v>PENDING_MDT</v>
      </c>
      <c r="AI2" s="18" t="str">
        <v>规则确认，来源待补</v>
      </c>
      <c r="AJ2" s="18" t="str">
        <v>MDT同意重量口径及AI候选min/max/step；需补实际产品标签、精确食物条目或身份/品种确认后，方可用于EXACT计算并转ACTIVE。</v>
      </c>
      <c r="AK2" s="18" t="str"/>
      <c r="AL2" s="18"/>
      <c r="AM2" s="2" t="str">
        <f>IF(OR(A2="",B2="",G2="",O2="",P2="",Q2="",R2="",S2="",COUNT(J2:M2)&lt;4),"MISSING_FIELDS",IF(OR(G2="PRODUCT_LABEL_REQUIRED",G2="PROJECT_REFERENCE_PENDING_MDT",G2="DERIVED_PROJECT_CANDIDATE_PENDING_MDT",G2="SPECIES_MATCH_REQUIRED",G2="IDENTITY_REVIEW_REQUIRED"),"SOURCE_REVIEW_REQUIRED",IF(AH2&lt;&gt;"ACTIVE","MDT_APPROVAL_REQUIRED","READY_FOR_USE")))</f>
        <v>SOURCE_REVIEW_REQUIRED</v>
      </c>
      <c r="AN2" s="2" t="str">
        <v>per_100g</v>
      </c>
      <c r="AO2" s="2" t="str">
        <v>RULE_APPROVED_SOURCE_PENDING</v>
      </c>
      <c r="AP2" s="2" t="str">
        <v>MDT同意重量口径及AI候选min/max/step；需补实际产品标签、精确食物条目或身份/品种确认后，方可用于EXACT计算并转ACTIVE。</v>
      </c>
    </row>
    <row r="3">
      <c r="A3" s="2" t="str">
        <v>ING002</v>
      </c>
      <c r="B3" s="2" t="str">
        <v>全麦面粉</v>
      </c>
      <c r="C3" s="2" t="str">
        <v>全麦面粉（项目现有标准值）</v>
      </c>
      <c r="D3" s="2" t="str">
        <v>主食/谷薯杂豆</v>
      </c>
      <c r="E3" s="2" t="str">
        <v>谷物/面粉/干面</v>
      </c>
      <c r="F3" s="2" t="str">
        <v>C005</v>
      </c>
      <c r="G3" s="12" t="str">
        <v>PROJECT_REFERENCE_PENDING_MDT</v>
      </c>
      <c r="H3" s="12"/>
      <c r="I3" s="12" t="n">
        <v>338.3</v>
      </c>
      <c r="J3" s="12" t="n">
        <f>IF(H3&lt;&gt;"",ROUND(H3/4.184,1),I3)</f>
        <v>338.3</v>
      </c>
      <c r="K3" s="12" t="n">
        <v>12</v>
      </c>
      <c r="L3" s="12" t="n">
        <v>69</v>
      </c>
      <c r="M3" s="12" t="n">
        <v>2.5</v>
      </c>
      <c r="N3" s="12" t="str">
        <v>https://nlc.chinanutri.cn/fq/</v>
      </c>
      <c r="O3" s="14" t="str">
        <v>dry_weight（干/生重）</v>
      </c>
      <c r="P3" s="14" t="str">
        <v>g</v>
      </c>
      <c r="Q3" s="14" t="n">
        <v>15</v>
      </c>
      <c r="R3" s="14" t="n">
        <v>80</v>
      </c>
      <c r="S3" s="14" t="n">
        <v>5</v>
      </c>
      <c r="T3" s="14" t="str">
        <v>连续称重；算法可更细，执行按5g步长</v>
      </c>
      <c r="U3" s="14" t="str">
        <v>家庭量可辅助说明；数据库与处方以g/ml/个为真值</v>
      </c>
      <c r="V3" s="16" t="str">
        <v>仅审核候选；MDT确认或匹配认可数据库后方可进入EXACT计算</v>
      </c>
      <c r="W3" s="16" t="str"/>
      <c r="X3" s="16" t="str">
        <v>早饱、消化耐受差或术前窗口很短时不机械增加粗杂粮</v>
      </c>
      <c r="Y3" s="16" t="str"/>
      <c r="Z3" s="16" t="str">
        <v>normal; cook-soft-if-needed</v>
      </c>
      <c r="AA3" s="16" t="str">
        <v>可用</v>
      </c>
      <c r="AB3" s="16" t="str">
        <v>条件可用</v>
      </c>
      <c r="AC3" s="16" t="str">
        <v>D/E若有早饱、恶心、胀气或总摄入不足，完成率优先，可换更易入口主食。</v>
      </c>
      <c r="AD3" s="16" t="str">
        <v>AI可提出候选克重；必须在min/max/step内执行化。任何取整、替换、配方改变后由认可营养计算源重算；患者端显示g/ml/个，不能只显示“份”。</v>
      </c>
      <c r="AE3" s="16" t="str">
        <v>ZXY项目工程候选：参考T/CNSS交换份、中国居民膳食指南的食物组范围、当前49组件base用量和家庭可执行性；不是指南直接规定的单项处方边界。</v>
      </c>
      <c r="AF3" s="16" t="str">
        <v>项目候选/标签/身份确认+项目执行规则</v>
      </c>
      <c r="AG3" s="16" t="str">
        <v>高</v>
      </c>
      <c r="AH3" s="18" t="str">
        <v>PENDING_MDT</v>
      </c>
      <c r="AI3" s="18" t="str">
        <v>规则确认，来源待补</v>
      </c>
      <c r="AJ3" s="18" t="str">
        <v>MDT同意重量口径及AI候选min/max/step；需补实际产品标签、精确食物条目或身份/品种确认后，方可用于EXACT计算并转ACTIVE。</v>
      </c>
      <c r="AK3" s="18" t="str"/>
      <c r="AL3" s="18"/>
      <c r="AM3" s="2" t="str">
        <f>IF(OR(A3="",B3="",G3="",O3="",P3="",Q3="",R3="",S3="",COUNT(J3:M3)&lt;4),"MISSING_FIELDS",IF(OR(G3="PRODUCT_LABEL_REQUIRED",G3="PROJECT_REFERENCE_PENDING_MDT",G3="DERIVED_PROJECT_CANDIDATE_PENDING_MDT",G3="SPECIES_MATCH_REQUIRED",G3="IDENTITY_REVIEW_REQUIRED"),"SOURCE_REVIEW_REQUIRED",IF(AH3&lt;&gt;"ACTIVE","MDT_APPROVAL_REQUIRED","READY_FOR_USE")))</f>
        <v>SOURCE_REVIEW_REQUIRED</v>
      </c>
      <c r="AN3" s="2" t="str">
        <v>per_100g</v>
      </c>
      <c r="AO3" s="2" t="str">
        <v>RULE_APPROVED_SOURCE_PENDING</v>
      </c>
      <c r="AP3" s="2" t="str">
        <v>MDT同意重量口径及AI候选min/max/step；需补实际产品标签、精确食物条目或身份/品种确认后，方可用于EXACT计算并转ACTIVE。</v>
      </c>
    </row>
    <row r="4">
      <c r="A4" s="2" t="str">
        <v>ING003</v>
      </c>
      <c r="B4" s="2" t="str">
        <v>大米</v>
      </c>
      <c r="C4" s="2" t="str">
        <v>粳米(标一)</v>
      </c>
      <c r="D4" s="2" t="str">
        <v>主食/谷薯杂豆</v>
      </c>
      <c r="E4" s="2" t="str">
        <v>谷物/面粉/干面</v>
      </c>
      <c r="F4" s="2" t="str">
        <v>C001,C003</v>
      </c>
      <c r="G4" s="12" t="str">
        <v>CDC_EXACT</v>
      </c>
      <c r="H4" s="12" t="n">
        <v>1464</v>
      </c>
      <c r="I4" s="12"/>
      <c r="J4" s="12" t="n">
        <f>IF(H4&lt;&gt;"",ROUND(H4/4.184,1),I4)</f>
        <v>349.9</v>
      </c>
      <c r="K4" s="12" t="n">
        <v>7.7</v>
      </c>
      <c r="L4" s="12" t="n">
        <v>77.4</v>
      </c>
      <c r="M4" s="12" t="n">
        <v>0.6</v>
      </c>
      <c r="N4" s="12" t="str">
        <v>https://nlc.chinanutri.cn/fq/foodinfo/281.html</v>
      </c>
      <c r="O4" s="14" t="str">
        <v>dry_weight（干/生重）</v>
      </c>
      <c r="P4" s="14" t="str">
        <v>g</v>
      </c>
      <c r="Q4" s="14" t="n">
        <v>15</v>
      </c>
      <c r="R4" s="14" t="n">
        <v>80</v>
      </c>
      <c r="S4" s="14" t="n">
        <v>5</v>
      </c>
      <c r="T4" s="14" t="str">
        <v>连续称重；算法可更细，执行按5g步长</v>
      </c>
      <c r="U4" s="14" t="str">
        <v>家庭量可辅助说明；数据库与处方以g/ml/个为真值</v>
      </c>
      <c r="V4" s="16" t="str">
        <v>MDT确认后可作为AI_GENERATED_DISH基础原料</v>
      </c>
      <c r="W4" s="16" t="str"/>
      <c r="X4" s="16" t="str"/>
      <c r="Y4" s="16" t="str">
        <v>glucose/metabolic_review</v>
      </c>
      <c r="Z4" s="16" t="str">
        <v>normal; cook-soft-if-needed</v>
      </c>
      <c r="AA4" s="16" t="str">
        <v>推荐</v>
      </c>
      <c r="AB4" s="16" t="str">
        <v>推荐</v>
      </c>
      <c r="AC4" s="16" t="str">
        <v>作为能量来源候选；D/E优先保证总能量与蛋白完成度，具体份量由目标和耐受决定。</v>
      </c>
      <c r="AD4" s="16" t="str">
        <v>AI可提出候选克重；必须在min/max/step内执行化。任何取整、替换、配方改变后由认可营养计算源重算；患者端显示g/ml/个，不能只显示“份”。</v>
      </c>
      <c r="AE4" s="16" t="str">
        <v>ZXY项目工程候选：参考T/CNSS交换份、中国居民膳食指南的食物组范围、当前49组件base用量和家庭可执行性；不是指南直接规定的单项处方边界。</v>
      </c>
      <c r="AF4" s="16" t="str">
        <v>CDC直接条目+项目执行规则</v>
      </c>
      <c r="AG4" s="16" t="str">
        <v>常规</v>
      </c>
      <c r="AH4" s="18" t="str">
        <v>ACTIVE</v>
      </c>
      <c r="AI4" s="18" t="str">
        <v>确认</v>
      </c>
      <c r="AJ4" s="18" t="str">
        <v>MDT按项目统一原则确认，可用于STANDARD_COMPONENT与AI_GENERATED_DISH的EXACT营养计算。</v>
      </c>
      <c r="AK4" s="18" t="str"/>
      <c r="AL4" s="18"/>
      <c r="AM4" s="2" t="str">
        <f>IF(OR(A4="",B4="",G4="",O4="",P4="",Q4="",R4="",S4="",COUNT(J4:M4)&lt;4),"MISSING_FIELDS",IF(OR(G4="PRODUCT_LABEL_REQUIRED",G4="PROJECT_REFERENCE_PENDING_MDT",G4="DERIVED_PROJECT_CANDIDATE_PENDING_MDT",G4="SPECIES_MATCH_REQUIRED",G4="IDENTITY_REVIEW_REQUIRED"),"SOURCE_REVIEW_REQUIRED",IF(AH4&lt;&gt;"ACTIVE","MDT_APPROVAL_REQUIRED","READY_FOR_USE")))</f>
        <v>READY_FOR_USE</v>
      </c>
      <c r="AN4" s="2" t="str">
        <v>per_100g</v>
      </c>
      <c r="AO4" s="2" t="str">
        <v>ACTIVE_FOR_EXACT</v>
      </c>
      <c r="AP4" s="2" t="str">
        <v>MDT按项目统一原则确认，可用于STANDARD_COMPONENT与AI_GENERATED_DISH的EXACT营养计算。</v>
      </c>
    </row>
    <row r="5">
      <c r="A5" s="2" t="str">
        <v>ING004</v>
      </c>
      <c r="B5" s="2" t="str">
        <v>小米</v>
      </c>
      <c r="C5" s="2" t="str">
        <v>小米</v>
      </c>
      <c r="D5" s="2" t="str">
        <v>主食/谷薯杂豆</v>
      </c>
      <c r="E5" s="2" t="str">
        <v>全谷物</v>
      </c>
      <c r="F5" s="2" t="str">
        <v>C009,C010</v>
      </c>
      <c r="G5" s="12" t="str">
        <v>CDC_EXACT</v>
      </c>
      <c r="H5" s="12" t="n">
        <v>1530</v>
      </c>
      <c r="I5" s="12"/>
      <c r="J5" s="12" t="n">
        <f>IF(H5&lt;&gt;"",ROUND(H5/4.184,1),I5)</f>
        <v>365.7</v>
      </c>
      <c r="K5" s="12" t="n">
        <v>9</v>
      </c>
      <c r="L5" s="12" t="n">
        <v>75.1</v>
      </c>
      <c r="M5" s="12" t="n">
        <v>3.1</v>
      </c>
      <c r="N5" s="12" t="str">
        <v>https://nlc.chinanutri.cn/fq/foodinfo/301.html</v>
      </c>
      <c r="O5" s="14" t="str">
        <v>dry_weight（干/生重）</v>
      </c>
      <c r="P5" s="14" t="str">
        <v>g</v>
      </c>
      <c r="Q5" s="14" t="n">
        <v>15</v>
      </c>
      <c r="R5" s="14" t="n">
        <v>80</v>
      </c>
      <c r="S5" s="14" t="n">
        <v>5</v>
      </c>
      <c r="T5" s="14" t="str">
        <v>连续称重；算法可更细，执行按5g步长</v>
      </c>
      <c r="U5" s="14" t="str">
        <v>家庭量可辅助说明；数据库与处方以g/ml/个为真值</v>
      </c>
      <c r="V5" s="16" t="str">
        <v>MDT确认后可作为AI_GENERATED_DISH基础原料</v>
      </c>
      <c r="W5" s="16" t="str"/>
      <c r="X5" s="16" t="str">
        <v>早饱、消化耐受差或术前窗口很短时不机械增加粗杂粮</v>
      </c>
      <c r="Y5" s="16" t="str">
        <v>glucose/metabolic_review</v>
      </c>
      <c r="Z5" s="16" t="str">
        <v>normal; cook-soft-if-needed</v>
      </c>
      <c r="AA5" s="16" t="str">
        <v>推荐</v>
      </c>
      <c r="AB5" s="16" t="str">
        <v>推荐</v>
      </c>
      <c r="AC5" s="16" t="str">
        <v>作为能量来源候选；D/E优先保证总能量与蛋白完成度，具体份量由目标和耐受决定。</v>
      </c>
      <c r="AD5" s="16" t="str">
        <v>AI可提出候选克重；必须在min/max/step内执行化。任何取整、替换、配方改变后由认可营养计算源重算；患者端显示g/ml/个，不能只显示“份”。</v>
      </c>
      <c r="AE5" s="16" t="str">
        <v>ZXY项目工程候选：参考T/CNSS交换份、中国居民膳食指南的食物组范围、当前49组件base用量和家庭可执行性；不是指南直接规定的单项处方边界。</v>
      </c>
      <c r="AF5" s="16" t="str">
        <v>CDC直接条目+项目执行规则</v>
      </c>
      <c r="AG5" s="16" t="str">
        <v>常规</v>
      </c>
      <c r="AH5" s="18" t="str">
        <v>ACTIVE</v>
      </c>
      <c r="AI5" s="18" t="str">
        <v>确认</v>
      </c>
      <c r="AJ5" s="18" t="str">
        <v>MDT按项目统一原则确认，可用于STANDARD_COMPONENT与AI_GENERATED_DISH的EXACT营养计算。</v>
      </c>
      <c r="AK5" s="18" t="str"/>
      <c r="AL5" s="18"/>
      <c r="AM5" s="2" t="str">
        <f>IF(OR(A5="",B5="",G5="",O5="",P5="",Q5="",R5="",S5="",COUNT(J5:M5)&lt;4),"MISSING_FIELDS",IF(OR(G5="PRODUCT_LABEL_REQUIRED",G5="PROJECT_REFERENCE_PENDING_MDT",G5="DERIVED_PROJECT_CANDIDATE_PENDING_MDT",G5="SPECIES_MATCH_REQUIRED",G5="IDENTITY_REVIEW_REQUIRED"),"SOURCE_REVIEW_REQUIRED",IF(AH5&lt;&gt;"ACTIVE","MDT_APPROVAL_REQUIRED","READY_FOR_USE")))</f>
        <v>READY_FOR_USE</v>
      </c>
      <c r="AN5" s="2" t="str">
        <v>per_100g</v>
      </c>
      <c r="AO5" s="2" t="str">
        <v>ACTIVE_FOR_EXACT</v>
      </c>
      <c r="AP5" s="2" t="str">
        <v>MDT按项目统一原则确认，可用于STANDARD_COMPONENT与AI_GENERATED_DISH的EXACT营养计算。</v>
      </c>
    </row>
    <row r="6">
      <c r="A6" s="2" t="str">
        <v>ING005</v>
      </c>
      <c r="B6" s="2" t="str">
        <v>山药</v>
      </c>
      <c r="C6" s="2" t="str">
        <v>山药[薯蓣，大薯](鲜)</v>
      </c>
      <c r="D6" s="2" t="str">
        <v>主食/谷薯杂豆</v>
      </c>
      <c r="E6" s="2" t="str">
        <v>鲜玉米/薯芋</v>
      </c>
      <c r="F6" s="2" t="str">
        <v>C012</v>
      </c>
      <c r="G6" s="12" t="str">
        <v>CDC_EXACT</v>
      </c>
      <c r="H6" s="12" t="n">
        <v>243</v>
      </c>
      <c r="I6" s="12"/>
      <c r="J6" s="12" t="n">
        <f>IF(H6&lt;&gt;"",ROUND(H6/4.184,1),I6)</f>
        <v>58.1</v>
      </c>
      <c r="K6" s="12" t="n">
        <v>1.9</v>
      </c>
      <c r="L6" s="12" t="n">
        <v>12.4</v>
      </c>
      <c r="M6" s="12" t="n">
        <v>0.2</v>
      </c>
      <c r="N6" s="12" t="str">
        <v>https://nlc.chinanutri.cn/fq/foodinfo/525.html</v>
      </c>
      <c r="O6" s="14" t="str">
        <v>raw_edible_weight（烹调前可食部）</v>
      </c>
      <c r="P6" s="14" t="str">
        <v>g</v>
      </c>
      <c r="Q6" s="14" t="n">
        <v>50</v>
      </c>
      <c r="R6" s="14" t="n">
        <v>250</v>
      </c>
      <c r="S6" s="14" t="n">
        <v>10</v>
      </c>
      <c r="T6" s="14" t="str">
        <v>按烹调前可食部</v>
      </c>
      <c r="U6" s="14" t="str">
        <v>家庭量可辅助说明；数据库与处方以g/ml/个为真值</v>
      </c>
      <c r="V6" s="16" t="str">
        <v>MDT确认后可作为AI_GENERATED_DISH基础原料</v>
      </c>
      <c r="W6" s="16" t="str"/>
      <c r="X6" s="16" t="str"/>
      <c r="Y6" s="16" t="str">
        <v>glucose/metabolic_review</v>
      </c>
      <c r="Z6" s="16" t="str">
        <v>normal; cook-soft-if-needed</v>
      </c>
      <c r="AA6" s="16" t="str">
        <v>推荐</v>
      </c>
      <c r="AB6" s="16" t="str">
        <v>推荐</v>
      </c>
      <c r="AC6" s="16" t="str">
        <v>作为能量来源候选；D/E优先保证总能量与蛋白完成度，具体份量由目标和耐受决定。</v>
      </c>
      <c r="AD6" s="16" t="str">
        <v>AI可提出候选克重；必须在min/max/step内执行化。任何取整、替换、配方改变后由认可营养计算源重算；患者端显示g/ml/个，不能只显示“份”。</v>
      </c>
      <c r="AE6" s="16" t="str">
        <v>ZXY项目工程候选：参考T/CNSS交换份、中国居民膳食指南的食物组范围、当前49组件base用量和家庭可执行性；不是指南直接规定的单项处方边界。</v>
      </c>
      <c r="AF6" s="16" t="str">
        <v>CDC直接条目+项目执行规则</v>
      </c>
      <c r="AG6" s="16" t="str">
        <v>常规</v>
      </c>
      <c r="AH6" s="18" t="str">
        <v>ACTIVE</v>
      </c>
      <c r="AI6" s="18" t="str">
        <v>确认</v>
      </c>
      <c r="AJ6" s="18" t="str">
        <v>MDT按项目统一原则确认，可用于STANDARD_COMPONENT与AI_GENERATED_DISH的EXACT营养计算。</v>
      </c>
      <c r="AK6" s="18" t="str"/>
      <c r="AL6" s="18"/>
      <c r="AM6" s="2" t="str">
        <f>IF(OR(A6="",B6="",G6="",O6="",P6="",Q6="",R6="",S6="",COUNT(J6:M6)&lt;4),"MISSING_FIELDS",IF(OR(G6="PRODUCT_LABEL_REQUIRED",G6="PROJECT_REFERENCE_PENDING_MDT",G6="DERIVED_PROJECT_CANDIDATE_PENDING_MDT",G6="SPECIES_MATCH_REQUIRED",G6="IDENTITY_REVIEW_REQUIRED"),"SOURCE_REVIEW_REQUIRED",IF(AH6&lt;&gt;"ACTIVE","MDT_APPROVAL_REQUIRED","READY_FOR_USE")))</f>
        <v>READY_FOR_USE</v>
      </c>
      <c r="AN6" s="2" t="str">
        <v>per_100g</v>
      </c>
      <c r="AO6" s="2" t="str">
        <v>ACTIVE_FOR_EXACT</v>
      </c>
      <c r="AP6" s="2" t="str">
        <v>MDT按项目统一原则确认，可用于STANDARD_COMPONENT与AI_GENERATED_DISH的EXACT营养计算。</v>
      </c>
    </row>
    <row r="7">
      <c r="A7" s="2" t="str">
        <v>ING006</v>
      </c>
      <c r="B7" s="2" t="str">
        <v>燕麦片</v>
      </c>
      <c r="C7" s="2" t="str">
        <v>燕麦片</v>
      </c>
      <c r="D7" s="2" t="str">
        <v>主食/谷薯杂豆</v>
      </c>
      <c r="E7" s="2" t="str">
        <v>全谷物</v>
      </c>
      <c r="F7" s="2" t="str">
        <v>C004</v>
      </c>
      <c r="G7" s="12" t="str">
        <v>CDC_EXACT</v>
      </c>
      <c r="H7" s="12" t="n">
        <v>1593</v>
      </c>
      <c r="I7" s="12"/>
      <c r="J7" s="12" t="n">
        <f>IF(H7&lt;&gt;"",ROUND(H7/4.184,1),I7)</f>
        <v>380.7</v>
      </c>
      <c r="K7" s="12" t="n">
        <v>15</v>
      </c>
      <c r="L7" s="12" t="n">
        <v>66.9</v>
      </c>
      <c r="M7" s="12" t="n">
        <v>6.7</v>
      </c>
      <c r="N7" s="12" t="str">
        <v>https://nlc.chinanutri.cn/fq/foodinfo/1274.html</v>
      </c>
      <c r="O7" s="14" t="str">
        <v>dry_weight（干/生重）</v>
      </c>
      <c r="P7" s="14" t="str">
        <v>g</v>
      </c>
      <c r="Q7" s="14" t="n">
        <v>15</v>
      </c>
      <c r="R7" s="14" t="n">
        <v>80</v>
      </c>
      <c r="S7" s="14" t="n">
        <v>5</v>
      </c>
      <c r="T7" s="14" t="str">
        <v>连续称重；算法可更细，执行按5g步长</v>
      </c>
      <c r="U7" s="14" t="str">
        <v>家庭量可辅助说明；数据库与处方以g/ml/个为真值</v>
      </c>
      <c r="V7" s="16" t="str">
        <v>MDT确认后可作为AI_GENERATED_DISH基础原料</v>
      </c>
      <c r="W7" s="16" t="str"/>
      <c r="X7" s="16" t="str">
        <v>早饱、消化耐受差或术前窗口很短时不机械增加粗杂粮</v>
      </c>
      <c r="Y7" s="16" t="str">
        <v>glucose/metabolic_review</v>
      </c>
      <c r="Z7" s="16" t="str">
        <v>normal; cook-soft-if-needed</v>
      </c>
      <c r="AA7" s="16" t="str">
        <v>推荐</v>
      </c>
      <c r="AB7" s="16" t="str">
        <v>推荐</v>
      </c>
      <c r="AC7" s="16" t="str">
        <v>作为能量来源候选；D/E优先保证总能量与蛋白完成度，具体份量由目标和耐受决定。</v>
      </c>
      <c r="AD7" s="16" t="str">
        <v>AI可提出候选克重；必须在min/max/step内执行化。任何取整、替换、配方改变后由认可营养计算源重算；患者端显示g/ml/个，不能只显示“份”。</v>
      </c>
      <c r="AE7" s="16" t="str">
        <v>ZXY项目工程候选：参考T/CNSS交换份、中国居民膳食指南的食物组范围、当前49组件base用量和家庭可执行性；不是指南直接规定的单项处方边界。</v>
      </c>
      <c r="AF7" s="16" t="str">
        <v>CDC直接条目+项目执行规则</v>
      </c>
      <c r="AG7" s="16" t="str">
        <v>常规</v>
      </c>
      <c r="AH7" s="18" t="str">
        <v>ACTIVE</v>
      </c>
      <c r="AI7" s="18" t="str">
        <v>确认</v>
      </c>
      <c r="AJ7" s="18" t="str">
        <v>MDT按项目统一原则确认，可用于STANDARD_COMPONENT与AI_GENERATED_DISH的EXACT营养计算。</v>
      </c>
      <c r="AK7" s="18" t="str"/>
      <c r="AL7" s="18"/>
      <c r="AM7" s="2" t="str">
        <f>IF(OR(A7="",B7="",G7="",O7="",P7="",Q7="",R7="",S7="",COUNT(J7:M7)&lt;4),"MISSING_FIELDS",IF(OR(G7="PRODUCT_LABEL_REQUIRED",G7="PROJECT_REFERENCE_PENDING_MDT",G7="DERIVED_PROJECT_CANDIDATE_PENDING_MDT",G7="SPECIES_MATCH_REQUIRED",G7="IDENTITY_REVIEW_REQUIRED"),"SOURCE_REVIEW_REQUIRED",IF(AH7&lt;&gt;"ACTIVE","MDT_APPROVAL_REQUIRED","READY_FOR_USE")))</f>
        <v>READY_FOR_USE</v>
      </c>
      <c r="AN7" s="2" t="str">
        <v>per_100g</v>
      </c>
      <c r="AO7" s="2" t="str">
        <v>ACTIVE_FOR_EXACT</v>
      </c>
      <c r="AP7" s="2" t="str">
        <v>MDT按项目统一原则确认，可用于STANDARD_COMPONENT与AI_GENERATED_DISH的EXACT营养计算。</v>
      </c>
    </row>
    <row r="8">
      <c r="A8" s="2" t="str">
        <v>ING007</v>
      </c>
      <c r="B8" s="2" t="str">
        <v>玉米鲜</v>
      </c>
      <c r="C8" s="2" t="str">
        <v>玉米(鲜)</v>
      </c>
      <c r="D8" s="2" t="str">
        <v>主食/谷薯杂豆</v>
      </c>
      <c r="E8" s="2" t="str">
        <v>鲜玉米/薯芋</v>
      </c>
      <c r="F8" s="2" t="str">
        <v>C006,S008</v>
      </c>
      <c r="G8" s="12" t="str">
        <v>CDC_EXACT</v>
      </c>
      <c r="H8" s="12" t="n">
        <v>474</v>
      </c>
      <c r="I8" s="12"/>
      <c r="J8" s="12" t="n">
        <f>IF(H8&lt;&gt;"",ROUND(H8/4.184,1),I8)</f>
        <v>113.3</v>
      </c>
      <c r="K8" s="12" t="n">
        <v>4</v>
      </c>
      <c r="L8" s="12" t="n">
        <v>22.8</v>
      </c>
      <c r="M8" s="12" t="n">
        <v>1.2</v>
      </c>
      <c r="N8" s="12" t="str">
        <v>https://nlc.chinanutri.cn/fq/foodinfo/292.html</v>
      </c>
      <c r="O8" s="14" t="str">
        <v>raw_edible_weight（烹调前可食部）</v>
      </c>
      <c r="P8" s="14" t="str">
        <v>g</v>
      </c>
      <c r="Q8" s="14" t="n">
        <v>50</v>
      </c>
      <c r="R8" s="14" t="n">
        <v>200</v>
      </c>
      <c r="S8" s="14" t="n">
        <v>10</v>
      </c>
      <c r="T8" s="14" t="str">
        <v>按可食部；家庭量仅辅助</v>
      </c>
      <c r="U8" s="14" t="str">
        <v>家庭量可辅助说明；数据库与处方以g/ml/个为真值</v>
      </c>
      <c r="V8" s="16" t="str">
        <v>MDT确认后可作为AI_GENERATED_DISH基础原料</v>
      </c>
      <c r="W8" s="16" t="str"/>
      <c r="X8" s="16" t="str">
        <v>早饱、消化耐受差或术前窗口很短时不机械增加粗杂粮</v>
      </c>
      <c r="Y8" s="16" t="str">
        <v>glucose/metabolic_review</v>
      </c>
      <c r="Z8" s="16" t="str">
        <v>normal; GI-tolerance review</v>
      </c>
      <c r="AA8" s="16" t="str">
        <v>可用</v>
      </c>
      <c r="AB8" s="16" t="str">
        <v>条件可用</v>
      </c>
      <c r="AC8" s="16" t="str">
        <v>D/E若有早饱、恶心、胀气或总摄入不足，完成率优先，可换更易入口主食。</v>
      </c>
      <c r="AD8" s="16" t="str">
        <v>AI可提出候选克重；必须在min/max/step内执行化。任何取整、替换、配方改变后由认可营养计算源重算；患者端显示g/ml/个，不能只显示“份”。</v>
      </c>
      <c r="AE8" s="16" t="str">
        <v>ZXY项目工程候选：参考T/CNSS交换份、中国居民膳食指南的食物组范围、当前49组件base用量和家庭可执行性；不是指南直接规定的单项处方边界。</v>
      </c>
      <c r="AF8" s="16" t="str">
        <v>CDC直接条目+项目执行规则</v>
      </c>
      <c r="AG8" s="16" t="str">
        <v>常规</v>
      </c>
      <c r="AH8" s="18" t="str">
        <v>ACTIVE</v>
      </c>
      <c r="AI8" s="18" t="str">
        <v>确认</v>
      </c>
      <c r="AJ8" s="18" t="str">
        <v>MDT按项目统一原则确认，可用于STANDARD_COMPONENT与AI_GENERATED_DISH的EXACT营养计算。</v>
      </c>
      <c r="AK8" s="18" t="str"/>
      <c r="AL8" s="18"/>
      <c r="AM8" s="2" t="str">
        <f>IF(OR(A8="",B8="",G8="",O8="",P8="",Q8="",R8="",S8="",COUNT(J8:M8)&lt;4),"MISSING_FIELDS",IF(OR(G8="PRODUCT_LABEL_REQUIRED",G8="PROJECT_REFERENCE_PENDING_MDT",G8="DERIVED_PROJECT_CANDIDATE_PENDING_MDT",G8="SPECIES_MATCH_REQUIRED",G8="IDENTITY_REVIEW_REQUIRED"),"SOURCE_REVIEW_REQUIRED",IF(AH8&lt;&gt;"ACTIVE","MDT_APPROVAL_REQUIRED","READY_FOR_USE")))</f>
        <v>READY_FOR_USE</v>
      </c>
      <c r="AN8" s="2" t="str">
        <v>per_100g</v>
      </c>
      <c r="AO8" s="2" t="str">
        <v>ACTIVE_FOR_EXACT</v>
      </c>
      <c r="AP8" s="2" t="str">
        <v>MDT按项目统一原则确认，可用于STANDARD_COMPONENT与AI_GENERATED_DISH的EXACT营养计算。</v>
      </c>
    </row>
    <row r="9">
      <c r="A9" s="2" t="str">
        <v>ING008</v>
      </c>
      <c r="B9" s="2" t="str">
        <v>糙米</v>
      </c>
      <c r="C9" s="2" t="str">
        <v>糙米（项目现有标准值）</v>
      </c>
      <c r="D9" s="2" t="str">
        <v>主食/谷薯杂豆</v>
      </c>
      <c r="E9" s="2" t="str">
        <v>全谷物</v>
      </c>
      <c r="F9" s="2" t="str">
        <v>C002,C003</v>
      </c>
      <c r="G9" s="12" t="str">
        <v>PROJECT_REFERENCE_PENDING_MDT</v>
      </c>
      <c r="H9" s="12"/>
      <c r="I9" s="12" t="n">
        <v>348</v>
      </c>
      <c r="J9" s="12" t="n">
        <f>IF(H9&lt;&gt;"",ROUND(H9/4.184,1),I9)</f>
        <v>348</v>
      </c>
      <c r="K9" s="12" t="n">
        <v>7.8</v>
      </c>
      <c r="L9" s="12" t="n">
        <v>75</v>
      </c>
      <c r="M9" s="12" t="n">
        <v>2.8</v>
      </c>
      <c r="N9" s="12" t="str">
        <v>https://nlc.chinanutri.cn/fq/</v>
      </c>
      <c r="O9" s="14" t="str">
        <v>dry_weight（干/生重）</v>
      </c>
      <c r="P9" s="14" t="str">
        <v>g</v>
      </c>
      <c r="Q9" s="14" t="n">
        <v>15</v>
      </c>
      <c r="R9" s="14" t="n">
        <v>80</v>
      </c>
      <c r="S9" s="14" t="n">
        <v>5</v>
      </c>
      <c r="T9" s="14" t="str">
        <v>连续称重；算法可更细，执行按5g步长</v>
      </c>
      <c r="U9" s="14" t="str">
        <v>家庭量可辅助说明；数据库与处方以g/ml/个为真值</v>
      </c>
      <c r="V9" s="16" t="str">
        <v>仅审核候选；MDT确认或匹配认可数据库后方可进入EXACT计算</v>
      </c>
      <c r="W9" s="16" t="str"/>
      <c r="X9" s="16" t="str">
        <v>早饱、消化耐受差或术前窗口很短时不机械增加粗杂粮</v>
      </c>
      <c r="Y9" s="16" t="str">
        <v>glucose/metabolic_review</v>
      </c>
      <c r="Z9" s="16" t="str">
        <v>normal; GI-tolerance review</v>
      </c>
      <c r="AA9" s="16" t="str">
        <v>可用</v>
      </c>
      <c r="AB9" s="16" t="str">
        <v>条件可用</v>
      </c>
      <c r="AC9" s="16" t="str">
        <v>D/E若有早饱、恶心、胀气或总摄入不足，完成率优先，可换更易入口主食。</v>
      </c>
      <c r="AD9" s="16" t="str">
        <v>AI可提出候选克重；必须在min/max/step内执行化。任何取整、替换、配方改变后由认可营养计算源重算；患者端显示g/ml/个，不能只显示“份”。</v>
      </c>
      <c r="AE9" s="16" t="str">
        <v>ZXY项目工程候选：参考T/CNSS交换份、中国居民膳食指南的食物组范围、当前49组件base用量和家庭可执行性；不是指南直接规定的单项处方边界。</v>
      </c>
      <c r="AF9" s="16" t="str">
        <v>项目候选/标签/身份确认+项目执行规则</v>
      </c>
      <c r="AG9" s="16" t="str">
        <v>高</v>
      </c>
      <c r="AH9" s="18" t="str">
        <v>PENDING_MDT</v>
      </c>
      <c r="AI9" s="18" t="str">
        <v>规则确认，来源待补</v>
      </c>
      <c r="AJ9" s="18" t="str">
        <v>MDT同意重量口径及AI候选min/max/step；需补实际产品标签、精确食物条目或身份/品种确认后，方可用于EXACT计算并转ACTIVE。</v>
      </c>
      <c r="AK9" s="18" t="str"/>
      <c r="AL9" s="18"/>
      <c r="AM9" s="2" t="str">
        <f>IF(OR(A9="",B9="",G9="",O9="",P9="",Q9="",R9="",S9="",COUNT(J9:M9)&lt;4),"MISSING_FIELDS",IF(OR(G9="PRODUCT_LABEL_REQUIRED",G9="PROJECT_REFERENCE_PENDING_MDT",G9="DERIVED_PROJECT_CANDIDATE_PENDING_MDT",G9="SPECIES_MATCH_REQUIRED",G9="IDENTITY_REVIEW_REQUIRED"),"SOURCE_REVIEW_REQUIRED",IF(AH9&lt;&gt;"ACTIVE","MDT_APPROVAL_REQUIRED","READY_FOR_USE")))</f>
        <v>SOURCE_REVIEW_REQUIRED</v>
      </c>
      <c r="AN9" s="2" t="str">
        <v>per_100g</v>
      </c>
      <c r="AO9" s="2" t="str">
        <v>RULE_APPROVED_SOURCE_PENDING</v>
      </c>
      <c r="AP9" s="2" t="str">
        <v>MDT同意重量口径及AI候选min/max/step；需补实际产品标签、精确食物条目或身份/品种确认后，方可用于EXACT计算并转ACTIVE。</v>
      </c>
    </row>
    <row r="10">
      <c r="A10" s="2" t="str">
        <v>ING009</v>
      </c>
      <c r="B10" s="2" t="str">
        <v>红薯</v>
      </c>
      <c r="C10" s="2" t="str">
        <v>甘薯(红心)[山芋，红薯]</v>
      </c>
      <c r="D10" s="2" t="str">
        <v>主食/谷薯杂豆</v>
      </c>
      <c r="E10" s="2" t="str">
        <v>鲜玉米/薯芋</v>
      </c>
      <c r="F10" s="2" t="str">
        <v>C007</v>
      </c>
      <c r="G10" s="12" t="str">
        <v>CDC_EXACT</v>
      </c>
      <c r="H10" s="12" t="n">
        <v>432</v>
      </c>
      <c r="I10" s="12"/>
      <c r="J10" s="12" t="n">
        <f>IF(H10&lt;&gt;"",ROUND(H10/4.184,1),I10)</f>
        <v>103.3</v>
      </c>
      <c r="K10" s="12" t="n">
        <v>1.1</v>
      </c>
      <c r="L10" s="12" t="n">
        <v>24.7</v>
      </c>
      <c r="M10" s="12" t="n">
        <v>0.2</v>
      </c>
      <c r="N10" s="12" t="str">
        <v>https://nlc.chinanutri.cn/fq/foodinfo/316.html</v>
      </c>
      <c r="O10" s="14" t="str">
        <v>raw_edible_weight（烹调前可食部）</v>
      </c>
      <c r="P10" s="14" t="str">
        <v>g</v>
      </c>
      <c r="Q10" s="14" t="n">
        <v>50</v>
      </c>
      <c r="R10" s="14" t="n">
        <v>250</v>
      </c>
      <c r="S10" s="14" t="n">
        <v>10</v>
      </c>
      <c r="T10" s="14" t="str">
        <v>按烹调前可食部</v>
      </c>
      <c r="U10" s="14" t="str">
        <v>家庭量可辅助说明；数据库与处方以g/ml/个为真值</v>
      </c>
      <c r="V10" s="16" t="str">
        <v>MDT确认后可作为AI_GENERATED_DISH基础原料</v>
      </c>
      <c r="W10" s="16" t="str"/>
      <c r="X10" s="16" t="str"/>
      <c r="Y10" s="16" t="str">
        <v>glucose/metabolic_review</v>
      </c>
      <c r="Z10" s="16" t="str">
        <v>normal; cook-soft-if-needed</v>
      </c>
      <c r="AA10" s="16" t="str">
        <v>推荐</v>
      </c>
      <c r="AB10" s="16" t="str">
        <v>推荐</v>
      </c>
      <c r="AC10" s="16" t="str">
        <v>作为能量来源候选；D/E优先保证总能量与蛋白完成度，具体份量由目标和耐受决定。</v>
      </c>
      <c r="AD10" s="16" t="str">
        <v>AI可提出候选克重；必须在min/max/step内执行化。任何取整、替换、配方改变后由认可营养计算源重算；患者端显示g/ml/个，不能只显示“份”。</v>
      </c>
      <c r="AE10" s="16" t="str">
        <v>ZXY项目工程候选：参考T/CNSS交换份、中国居民膳食指南的食物组范围、当前49组件base用量和家庭可执行性；不是指南直接规定的单项处方边界。</v>
      </c>
      <c r="AF10" s="16" t="str">
        <v>CDC直接条目+项目执行规则</v>
      </c>
      <c r="AG10" s="16" t="str">
        <v>常规</v>
      </c>
      <c r="AH10" s="18" t="str">
        <v>ACTIVE</v>
      </c>
      <c r="AI10" s="18" t="str">
        <v>确认</v>
      </c>
      <c r="AJ10" s="18" t="str">
        <v>MDT按项目统一原则确认，可用于STANDARD_COMPONENT与AI_GENERATED_DISH的EXACT营养计算。</v>
      </c>
      <c r="AK10" s="18" t="str"/>
      <c r="AL10" s="18"/>
      <c r="AM10" s="2" t="str">
        <f>IF(OR(A10="",B10="",G10="",O10="",P10="",Q10="",R10="",S10="",COUNT(J10:M10)&lt;4),"MISSING_FIELDS",IF(OR(G10="PRODUCT_LABEL_REQUIRED",G10="PROJECT_REFERENCE_PENDING_MDT",G10="DERIVED_PROJECT_CANDIDATE_PENDING_MDT",G10="SPECIES_MATCH_REQUIRED",G10="IDENTITY_REVIEW_REQUIRED"),"SOURCE_REVIEW_REQUIRED",IF(AH10&lt;&gt;"ACTIVE","MDT_APPROVAL_REQUIRED","READY_FOR_USE")))</f>
        <v>READY_FOR_USE</v>
      </c>
      <c r="AN10" s="2" t="str">
        <v>per_100g</v>
      </c>
      <c r="AO10" s="2" t="str">
        <v>ACTIVE_FOR_EXACT</v>
      </c>
      <c r="AP10" s="2" t="str">
        <v>MDT按项目统一原则确认，可用于STANDARD_COMPONENT与AI_GENERATED_DISH的EXACT营养计算。</v>
      </c>
    </row>
    <row r="11">
      <c r="A11" s="2" t="str">
        <v>ING010</v>
      </c>
      <c r="B11" s="2" t="str">
        <v>荞麦面干</v>
      </c>
      <c r="C11" s="2" t="str">
        <v>荞麦面干（项目现有标准值；待精确条目）</v>
      </c>
      <c r="D11" s="2" t="str">
        <v>主食/谷薯杂豆</v>
      </c>
      <c r="E11" s="2" t="str">
        <v>谷物/面粉/干面</v>
      </c>
      <c r="F11" s="2" t="str">
        <v>C008</v>
      </c>
      <c r="G11" s="12" t="str">
        <v>PROJECT_REFERENCE_PENDING_MDT</v>
      </c>
      <c r="H11" s="12"/>
      <c r="I11" s="12" t="n">
        <v>340</v>
      </c>
      <c r="J11" s="12" t="n">
        <f>IF(H11&lt;&gt;"",ROUND(H11/4.184,1),I11)</f>
        <v>340</v>
      </c>
      <c r="K11" s="12" t="n">
        <v>12</v>
      </c>
      <c r="L11" s="12" t="n">
        <v>68</v>
      </c>
      <c r="M11" s="12" t="n">
        <v>2.5</v>
      </c>
      <c r="N11" s="12" t="str">
        <v>https://nlc.chinanutri.cn/fq/</v>
      </c>
      <c r="O11" s="14" t="str">
        <v>dry_weight（干/生重）</v>
      </c>
      <c r="P11" s="14" t="str">
        <v>g</v>
      </c>
      <c r="Q11" s="14" t="n">
        <v>15</v>
      </c>
      <c r="R11" s="14" t="n">
        <v>80</v>
      </c>
      <c r="S11" s="14" t="n">
        <v>5</v>
      </c>
      <c r="T11" s="14" t="str">
        <v>连续称重；算法可更细，执行按5g步长</v>
      </c>
      <c r="U11" s="14" t="str">
        <v>家庭量可辅助说明；数据库与处方以g/ml/个为真值</v>
      </c>
      <c r="V11" s="16" t="str">
        <v>仅审核候选；MDT确认或匹配认可数据库后方可进入EXACT计算</v>
      </c>
      <c r="W11" s="16" t="str"/>
      <c r="X11" s="16" t="str">
        <v>早饱、消化耐受差或术前窗口很短时不机械增加粗杂粮</v>
      </c>
      <c r="Y11" s="16" t="str">
        <v>glucose/metabolic_review</v>
      </c>
      <c r="Z11" s="16" t="str">
        <v>normal; cook-soft-if-needed</v>
      </c>
      <c r="AA11" s="16" t="str">
        <v>推荐</v>
      </c>
      <c r="AB11" s="16" t="str">
        <v>推荐</v>
      </c>
      <c r="AC11" s="16" t="str">
        <v>作为能量来源候选；D/E优先保证总能量与蛋白完成度，具体份量由目标和耐受决定。</v>
      </c>
      <c r="AD11" s="16" t="str">
        <v>AI可提出候选克重；必须在min/max/step内执行化。任何取整、替换、配方改变后由认可营养计算源重算；患者端显示g/ml/个，不能只显示“份”。</v>
      </c>
      <c r="AE11" s="16" t="str">
        <v>ZXY项目工程候选：参考T/CNSS交换份、中国居民膳食指南的食物组范围、当前49组件base用量和家庭可执行性；不是指南直接规定的单项处方边界。</v>
      </c>
      <c r="AF11" s="16" t="str">
        <v>项目候选/标签/身份确认+项目执行规则</v>
      </c>
      <c r="AG11" s="16" t="str">
        <v>高</v>
      </c>
      <c r="AH11" s="18" t="str">
        <v>PENDING_MDT</v>
      </c>
      <c r="AI11" s="18" t="str">
        <v>规则确认，来源待补</v>
      </c>
      <c r="AJ11" s="18" t="str">
        <v>MDT同意重量口径及AI候选min/max/step；需补实际产品标签、精确食物条目或身份/品种确认后，方可用于EXACT计算并转ACTIVE。</v>
      </c>
      <c r="AK11" s="18" t="str"/>
      <c r="AL11" s="18"/>
      <c r="AM11" s="2" t="str">
        <f>IF(OR(A11="",B11="",G11="",O11="",P11="",Q11="",R11="",S11="",COUNT(J11:M11)&lt;4),"MISSING_FIELDS",IF(OR(G11="PRODUCT_LABEL_REQUIRED",G11="PROJECT_REFERENCE_PENDING_MDT",G11="DERIVED_PROJECT_CANDIDATE_PENDING_MDT",G11="SPECIES_MATCH_REQUIRED",G11="IDENTITY_REVIEW_REQUIRED"),"SOURCE_REVIEW_REQUIRED",IF(AH11&lt;&gt;"ACTIVE","MDT_APPROVAL_REQUIRED","READY_FOR_USE")))</f>
        <v>SOURCE_REVIEW_REQUIRED</v>
      </c>
      <c r="AN11" s="2" t="str">
        <v>per_100g</v>
      </c>
      <c r="AO11" s="2" t="str">
        <v>RULE_APPROVED_SOURCE_PENDING</v>
      </c>
      <c r="AP11" s="2" t="str">
        <v>MDT同意重量口径及AI候选min/max/step；需补实际产品标签、精确食物条目或身份/品种确认后，方可用于EXACT计算并转ACTIVE。</v>
      </c>
    </row>
    <row r="12">
      <c r="A12" s="2" t="str">
        <v>ING011</v>
      </c>
      <c r="B12" s="2" t="str">
        <v>赤小豆干</v>
      </c>
      <c r="C12" s="2" t="str">
        <v>赤小豆[小豆，红小豆](干)</v>
      </c>
      <c r="D12" s="2" t="str">
        <v>主食/谷薯杂豆</v>
      </c>
      <c r="E12" s="2" t="str">
        <v>杂豆</v>
      </c>
      <c r="F12" s="2" t="str">
        <v>C003,C010</v>
      </c>
      <c r="G12" s="12" t="str">
        <v>CDC_EXACT</v>
      </c>
      <c r="H12" s="12" t="n">
        <v>1374</v>
      </c>
      <c r="I12" s="12"/>
      <c r="J12" s="12" t="n">
        <f>IF(H12&lt;&gt;"",ROUND(H12/4.184,1),I12)</f>
        <v>328.4</v>
      </c>
      <c r="K12" s="12" t="n">
        <v>20.2</v>
      </c>
      <c r="L12" s="12" t="n">
        <v>63.4</v>
      </c>
      <c r="M12" s="12" t="n">
        <v>0.6</v>
      </c>
      <c r="N12" s="12" t="str">
        <v>https://nlc.chinanutri.cn/fq/foodinfo/351.html</v>
      </c>
      <c r="O12" s="14" t="str">
        <v>dry_weight（干/生重）</v>
      </c>
      <c r="P12" s="14" t="str">
        <v>g</v>
      </c>
      <c r="Q12" s="14" t="n">
        <v>5</v>
      </c>
      <c r="R12" s="14" t="n">
        <v>30</v>
      </c>
      <c r="S12" s="14" t="n">
        <v>5</v>
      </c>
      <c r="T12" s="14" t="str">
        <v>杂豆作为混合主食成分；单次执行按5g步长</v>
      </c>
      <c r="U12" s="14" t="str">
        <v>家庭量可辅助说明；数据库与处方以g/ml/个为真值</v>
      </c>
      <c r="V12" s="16" t="str">
        <v>MDT确认后可作为AI_GENERATED_DISH基础原料</v>
      </c>
      <c r="W12" s="16" t="str"/>
      <c r="X12" s="16" t="str">
        <v>胃肠胀气/不耐受时调整或替换；早饱、消化耐受差或术前窗口很短时不机械增加粗杂粮</v>
      </c>
      <c r="Y12" s="16" t="str">
        <v>glucose/metabolic_review,urate/renal_protein_review</v>
      </c>
      <c r="Z12" s="16" t="str">
        <v>normal; GI-tolerance review</v>
      </c>
      <c r="AA12" s="16" t="str">
        <v>可用</v>
      </c>
      <c r="AB12" s="16" t="str">
        <v>条件可用</v>
      </c>
      <c r="AC12" s="16" t="str">
        <v>D/E若有早饱、恶心、胀气或总摄入不足，完成率优先，可换更易入口主食。</v>
      </c>
      <c r="AD12" s="16" t="str">
        <v>AI可提出候选克重；必须在min/max/step内执行化。任何取整、替换、配方改变后由认可营养计算源重算；患者端显示g/ml/个，不能只显示“份”。</v>
      </c>
      <c r="AE12" s="16" t="str">
        <v>ZXY项目工程候选：参考T/CNSS交换份、中国居民膳食指南的食物组范围、当前49组件base用量和家庭可执行性；不是指南直接规定的单项处方边界。</v>
      </c>
      <c r="AF12" s="16" t="str">
        <v>CDC直接条目+项目执行规则</v>
      </c>
      <c r="AG12" s="16" t="str">
        <v>常规</v>
      </c>
      <c r="AH12" s="18" t="str">
        <v>ACTIVE</v>
      </c>
      <c r="AI12" s="18" t="str">
        <v>确认</v>
      </c>
      <c r="AJ12" s="18" t="str">
        <v>MDT按项目统一原则确认，可用于STANDARD_COMPONENT与AI_GENERATED_DISH的EXACT营养计算。</v>
      </c>
      <c r="AK12" s="18" t="str"/>
      <c r="AL12" s="18"/>
      <c r="AM12" s="2" t="str">
        <f>IF(OR(A12="",B12="",G12="",O12="",P12="",Q12="",R12="",S12="",COUNT(J12:M12)&lt;4),"MISSING_FIELDS",IF(OR(G12="PRODUCT_LABEL_REQUIRED",G12="PROJECT_REFERENCE_PENDING_MDT",G12="DERIVED_PROJECT_CANDIDATE_PENDING_MDT",G12="SPECIES_MATCH_REQUIRED",G12="IDENTITY_REVIEW_REQUIRED"),"SOURCE_REVIEW_REQUIRED",IF(AH12&lt;&gt;"ACTIVE","MDT_APPROVAL_REQUIRED","READY_FOR_USE")))</f>
        <v>READY_FOR_USE</v>
      </c>
      <c r="AN12" s="2" t="str">
        <v>per_100g</v>
      </c>
      <c r="AO12" s="2" t="str">
        <v>ACTIVE_FOR_EXACT</v>
      </c>
      <c r="AP12" s="2" t="str">
        <v>MDT按项目统一原则确认，可用于STANDARD_COMPONENT与AI_GENERATED_DISH的EXACT营养计算。</v>
      </c>
    </row>
    <row r="13">
      <c r="A13" s="2" t="str">
        <v>ING012</v>
      </c>
      <c r="B13" s="2" t="str">
        <v>猪里脊</v>
      </c>
      <c r="C13" s="2" t="str">
        <v>猪肉(里脊)</v>
      </c>
      <c r="D13" s="2" t="str">
        <v>动物性蛋白</v>
      </c>
      <c r="E13" s="2" t="str">
        <v>畜肉</v>
      </c>
      <c r="F13" s="2" t="str">
        <v>P006</v>
      </c>
      <c r="G13" s="12" t="str">
        <v>CDC_EXACT</v>
      </c>
      <c r="H13" s="12" t="n">
        <v>648</v>
      </c>
      <c r="I13" s="12"/>
      <c r="J13" s="12" t="n">
        <f>IF(H13&lt;&gt;"",ROUND(H13/4.184,1),I13)</f>
        <v>154.9</v>
      </c>
      <c r="K13" s="12" t="n">
        <v>20.2</v>
      </c>
      <c r="L13" s="12" t="n">
        <v>0.7</v>
      </c>
      <c r="M13" s="12" t="n">
        <v>7.9</v>
      </c>
      <c r="N13" s="12" t="str">
        <v>https://nlc.chinanutri.cn/fq/foodinfo/784.html</v>
      </c>
      <c r="O13" s="14" t="str">
        <v>raw_edible_weight（烹调前可食部）</v>
      </c>
      <c r="P13" s="14" t="str">
        <v>g</v>
      </c>
      <c r="Q13" s="14" t="n">
        <v>30</v>
      </c>
      <c r="R13" s="14" t="n">
        <v>150</v>
      </c>
      <c r="S13" s="14" t="n">
        <v>5</v>
      </c>
      <c r="T13" s="14" t="str">
        <v>按烹调前可食部；患者端可辅以掌心量，但克重为真值</v>
      </c>
      <c r="U13" s="14" t="str">
        <v>家庭量可辅助说明；数据库与处方以g/ml/个为真值</v>
      </c>
      <c r="V13" s="16" t="str">
        <v>MDT确认后可作为AI_GENERATED_DISH基础原料</v>
      </c>
      <c r="W13" s="16" t="str"/>
      <c r="X13" s="16" t="str"/>
      <c r="Y13" s="16" t="str">
        <v>lipid_review,urate/renal_protein_review</v>
      </c>
      <c r="Z13" s="16" t="str">
        <v>normal; soft-if-needed</v>
      </c>
      <c r="AA13" s="16" t="str">
        <v>推荐</v>
      </c>
      <c r="AB13" s="16" t="str">
        <v>推荐</v>
      </c>
      <c r="AC13" s="16" t="str">
        <v>D/E营养恢复时可作为主蛋白候选；总量仍服从肾功能、尿酸、过敏/耐受和蛋白目标。</v>
      </c>
      <c r="AD13" s="16" t="str">
        <v>AI可提出候选克重；必须在min/max/step内执行化。任何取整、替换、配方改变后由认可营养计算源重算；患者端显示g/ml/个，不能只显示“份”。</v>
      </c>
      <c r="AE13" s="16" t="str">
        <v>ZXY项目工程候选：参考T/CNSS交换份、中国居民膳食指南的食物组范围、当前49组件base用量和家庭可执行性；不是指南直接规定的单项处方边界。</v>
      </c>
      <c r="AF13" s="16" t="str">
        <v>CDC直接条目+项目执行规则</v>
      </c>
      <c r="AG13" s="16" t="str">
        <v>常规</v>
      </c>
      <c r="AH13" s="18" t="str">
        <v>ACTIVE</v>
      </c>
      <c r="AI13" s="18" t="str">
        <v>确认</v>
      </c>
      <c r="AJ13" s="18" t="str">
        <v>MDT按项目统一原则确认，可用于STANDARD_COMPONENT与AI_GENERATED_DISH的EXACT营养计算。</v>
      </c>
      <c r="AK13" s="18" t="str"/>
      <c r="AL13" s="18"/>
      <c r="AM13" s="2" t="str">
        <f>IF(OR(A13="",B13="",G13="",O13="",P13="",Q13="",R13="",S13="",COUNT(J13:M13)&lt;4),"MISSING_FIELDS",IF(OR(G13="PRODUCT_LABEL_REQUIRED",G13="PROJECT_REFERENCE_PENDING_MDT",G13="DERIVED_PROJECT_CANDIDATE_PENDING_MDT",G13="SPECIES_MATCH_REQUIRED",G13="IDENTITY_REVIEW_REQUIRED"),"SOURCE_REVIEW_REQUIRED",IF(AH13&lt;&gt;"ACTIVE","MDT_APPROVAL_REQUIRED","READY_FOR_USE")))</f>
        <v>READY_FOR_USE</v>
      </c>
      <c r="AN13" s="2" t="str">
        <v>per_100g</v>
      </c>
      <c r="AO13" s="2" t="str">
        <v>ACTIVE_FOR_EXACT</v>
      </c>
      <c r="AP13" s="2" t="str">
        <v>MDT按项目统一原则确认，可用于STANDARD_COMPONENT与AI_GENERATED_DISH的EXACT营养计算。</v>
      </c>
    </row>
    <row r="14">
      <c r="A14" s="2" t="str">
        <v>ING013</v>
      </c>
      <c r="B14" s="2" t="str">
        <v>瘦牛肉</v>
      </c>
      <c r="C14" s="2" t="str">
        <v>牛肉(瘦)</v>
      </c>
      <c r="D14" s="2" t="str">
        <v>动物性蛋白</v>
      </c>
      <c r="E14" s="2" t="str">
        <v>畜肉</v>
      </c>
      <c r="F14" s="2" t="str">
        <v>P005,P012</v>
      </c>
      <c r="G14" s="12" t="str">
        <v>CDC_EXACT</v>
      </c>
      <c r="H14" s="12" t="n">
        <v>449</v>
      </c>
      <c r="I14" s="12"/>
      <c r="J14" s="12" t="n">
        <f>IF(H14&lt;&gt;"",ROUND(H14/4.184,1),I14)</f>
        <v>107.3</v>
      </c>
      <c r="K14" s="12" t="n">
        <v>20.2</v>
      </c>
      <c r="L14" s="12" t="n">
        <v>1.2</v>
      </c>
      <c r="M14" s="12" t="n">
        <v>2.3</v>
      </c>
      <c r="N14" s="12" t="str">
        <v>https://nlc.chinanutri.cn/fq/foodinfo/830.html</v>
      </c>
      <c r="O14" s="14" t="str">
        <v>raw_edible_weight（烹调前可食部）</v>
      </c>
      <c r="P14" s="14" t="str">
        <v>g</v>
      </c>
      <c r="Q14" s="14" t="n">
        <v>30</v>
      </c>
      <c r="R14" s="14" t="n">
        <v>150</v>
      </c>
      <c r="S14" s="14" t="n">
        <v>5</v>
      </c>
      <c r="T14" s="14" t="str">
        <v>按烹调前可食部；患者端可辅以掌心量，但克重为真值</v>
      </c>
      <c r="U14" s="14" t="str">
        <v>家庭量可辅助说明；数据库与处方以g/ml/个为真值</v>
      </c>
      <c r="V14" s="16" t="str">
        <v>MDT确认后可作为AI_GENERATED_DISH基础原料</v>
      </c>
      <c r="W14" s="16" t="str"/>
      <c r="X14" s="16" t="str"/>
      <c r="Y14" s="16" t="str">
        <v>lipid_review,urate/renal_protein_review</v>
      </c>
      <c r="Z14" s="16" t="str">
        <v>normal; soft-if-needed</v>
      </c>
      <c r="AA14" s="16" t="str">
        <v>推荐</v>
      </c>
      <c r="AB14" s="16" t="str">
        <v>推荐</v>
      </c>
      <c r="AC14" s="16" t="str">
        <v>D/E营养恢复时可作为主蛋白候选；总量仍服从肾功能、尿酸、过敏/耐受和蛋白目标。</v>
      </c>
      <c r="AD14" s="16" t="str">
        <v>AI可提出候选克重；必须在min/max/step内执行化。任何取整、替换、配方改变后由认可营养计算源重算；患者端显示g/ml/个，不能只显示“份”。</v>
      </c>
      <c r="AE14" s="16" t="str">
        <v>ZXY项目工程候选：参考T/CNSS交换份、中国居民膳食指南的食物组范围、当前49组件base用量和家庭可执行性；不是指南直接规定的单项处方边界。</v>
      </c>
      <c r="AF14" s="16" t="str">
        <v>CDC直接条目+项目执行规则</v>
      </c>
      <c r="AG14" s="16" t="str">
        <v>常规</v>
      </c>
      <c r="AH14" s="18" t="str">
        <v>ACTIVE</v>
      </c>
      <c r="AI14" s="18" t="str">
        <v>确认</v>
      </c>
      <c r="AJ14" s="18" t="str">
        <v>MDT按项目统一原则确认，可用于STANDARD_COMPONENT与AI_GENERATED_DISH的EXACT营养计算。</v>
      </c>
      <c r="AK14" s="18" t="str"/>
      <c r="AL14" s="18"/>
      <c r="AM14" s="2" t="str">
        <f>IF(OR(A14="",B14="",G14="",O14="",P14="",Q14="",R14="",S14="",COUNT(J14:M14)&lt;4),"MISSING_FIELDS",IF(OR(G14="PRODUCT_LABEL_REQUIRED",G14="PROJECT_REFERENCE_PENDING_MDT",G14="DERIVED_PROJECT_CANDIDATE_PENDING_MDT",G14="SPECIES_MATCH_REQUIRED",G14="IDENTITY_REVIEW_REQUIRED"),"SOURCE_REVIEW_REQUIRED",IF(AH14&lt;&gt;"ACTIVE","MDT_APPROVAL_REQUIRED","READY_FOR_USE")))</f>
        <v>READY_FOR_USE</v>
      </c>
      <c r="AN14" s="2" t="str">
        <v>per_100g</v>
      </c>
      <c r="AO14" s="2" t="str">
        <v>ACTIVE_FOR_EXACT</v>
      </c>
      <c r="AP14" s="2" t="str">
        <v>MDT按项目统一原则确认，可用于STANDARD_COMPONENT与AI_GENERATED_DISH的EXACT营养计算。</v>
      </c>
    </row>
    <row r="15">
      <c r="A15" s="2" t="str">
        <v>ING014</v>
      </c>
      <c r="B15" s="2" t="str">
        <v>虾仁</v>
      </c>
      <c r="C15" s="2" t="str">
        <v>虾（海虾）参考；具体虾仁品种/产品待匹配</v>
      </c>
      <c r="D15" s="2" t="str">
        <v>动物性蛋白</v>
      </c>
      <c r="E15" s="2" t="str">
        <v>鱼虾水产</v>
      </c>
      <c r="F15" s="2" t="str">
        <v>P007,P010,P013</v>
      </c>
      <c r="G15" s="12" t="str">
        <v>SPECIES_MATCH_REQUIRED</v>
      </c>
      <c r="H15" s="12" t="n">
        <v>333</v>
      </c>
      <c r="I15" s="12"/>
      <c r="J15" s="12" t="n">
        <f>IF(H15&lt;&gt;"",ROUND(H15/4.184,1),I15)</f>
        <v>79.6</v>
      </c>
      <c r="K15" s="12" t="n">
        <v>16.8</v>
      </c>
      <c r="L15" s="12" t="n">
        <v>1.5</v>
      </c>
      <c r="M15" s="12" t="n">
        <v>0.6</v>
      </c>
      <c r="N15" s="12" t="str">
        <v>https://nlc.chinanutri.cn/fq/foodinfo/1091.html</v>
      </c>
      <c r="O15" s="14" t="str">
        <v>raw_edible_weight（烹调前可食部）</v>
      </c>
      <c r="P15" s="14" t="str">
        <v>g</v>
      </c>
      <c r="Q15" s="14" t="n">
        <v>30</v>
      </c>
      <c r="R15" s="14" t="n">
        <v>120</v>
      </c>
      <c r="S15" s="14" t="n">
        <v>5</v>
      </c>
      <c r="T15" s="14" t="str">
        <v>按可食部净重；需明确虾种/产品</v>
      </c>
      <c r="U15" s="14" t="str">
        <v>家庭量可辅助说明；数据库与处方以g/ml/个为真值</v>
      </c>
      <c r="V15" s="16" t="str">
        <v>仅结构候选；身份/品种未确认前不得用于正式精确营养闭合</v>
      </c>
      <c r="W15" s="16" t="str">
        <v>shellfish/crustacean</v>
      </c>
      <c r="X15" s="16" t="str"/>
      <c r="Y15" s="16" t="str">
        <v>urate/renal_protein_review</v>
      </c>
      <c r="Z15" s="16" t="str">
        <v>normal; cook-soft-if-needed</v>
      </c>
      <c r="AA15" s="16" t="str">
        <v>推荐</v>
      </c>
      <c r="AB15" s="16" t="str">
        <v>推荐</v>
      </c>
      <c r="AC15" s="16" t="str">
        <v>D/E营养恢复时可作为主蛋白候选；总量仍服从肾功能、尿酸、过敏/耐受和蛋白目标。</v>
      </c>
      <c r="AD15" s="16" t="str">
        <v>AI可提出候选克重；必须在min/max/step内执行化。任何取整、替换、配方改变后由认可营养计算源重算；患者端显示g/ml/个，不能只显示“份”。</v>
      </c>
      <c r="AE15" s="16" t="str">
        <v>ZXY项目工程候选：参考T/CNSS交换份、中国居民膳食指南的食物组范围、当前49组件base用量和家庭可执行性；不是指南直接规定的单项处方边界。</v>
      </c>
      <c r="AF15" s="16" t="str">
        <v>项目候选/标签/身份确认+项目执行规则</v>
      </c>
      <c r="AG15" s="16" t="str">
        <v>高</v>
      </c>
      <c r="AH15" s="18" t="str">
        <v>PENDING_MDT</v>
      </c>
      <c r="AI15" s="18" t="str">
        <v>规则确认，来源待补</v>
      </c>
      <c r="AJ15" s="18" t="str">
        <v>MDT同意重量口径及AI候选min/max/step；需补实际产品标签、精确食物条目或身份/品种确认后，方可用于EXACT计算并转ACTIVE。</v>
      </c>
      <c r="AK15" s="18" t="str"/>
      <c r="AL15" s="18"/>
      <c r="AM15" s="2" t="str">
        <f>IF(OR(A15="",B15="",G15="",O15="",P15="",Q15="",R15="",S15="",COUNT(J15:M15)&lt;4),"MISSING_FIELDS",IF(OR(G15="PRODUCT_LABEL_REQUIRED",G15="PROJECT_REFERENCE_PENDING_MDT",G15="DERIVED_PROJECT_CANDIDATE_PENDING_MDT",G15="SPECIES_MATCH_REQUIRED",G15="IDENTITY_REVIEW_REQUIRED"),"SOURCE_REVIEW_REQUIRED",IF(AH15&lt;&gt;"ACTIVE","MDT_APPROVAL_REQUIRED","READY_FOR_USE")))</f>
        <v>SOURCE_REVIEW_REQUIRED</v>
      </c>
      <c r="AN15" s="2" t="str">
        <v>per_100g</v>
      </c>
      <c r="AO15" s="2" t="str">
        <v>RULE_APPROVED_SOURCE_PENDING</v>
      </c>
      <c r="AP15" s="2" t="str">
        <v>MDT同意重量口径及AI候选min/max/step；需补实际产品标签、精确食物条目或身份/品种确认后，方可用于EXACT计算并转ACTIVE。</v>
      </c>
    </row>
    <row r="16">
      <c r="A16" s="2" t="str">
        <v>ING015</v>
      </c>
      <c r="B16" s="2" t="str">
        <v>鲈鱼</v>
      </c>
      <c r="C16" s="2" t="str">
        <v>鲈鱼[鲈花]</v>
      </c>
      <c r="D16" s="2" t="str">
        <v>动物性蛋白</v>
      </c>
      <c r="E16" s="2" t="str">
        <v>鱼虾水产</v>
      </c>
      <c r="F16" s="2" t="str">
        <v>P001</v>
      </c>
      <c r="G16" s="12" t="str">
        <v>CDC_EXACT</v>
      </c>
      <c r="H16" s="12" t="n">
        <v>442</v>
      </c>
      <c r="I16" s="12"/>
      <c r="J16" s="12" t="n">
        <f>IF(H16&lt;&gt;"",ROUND(H16/4.184,1),I16)</f>
        <v>105.6</v>
      </c>
      <c r="K16" s="12" t="n">
        <v>18.6</v>
      </c>
      <c r="L16" s="12" t="n">
        <v>0</v>
      </c>
      <c r="M16" s="12" t="n">
        <v>3.4</v>
      </c>
      <c r="N16" s="12" t="str">
        <v>https://nlc.chinanutri.cn/fq/foodinfo/1050.html</v>
      </c>
      <c r="O16" s="14" t="str">
        <v>raw_edible_weight（烹调前可食部）</v>
      </c>
      <c r="P16" s="14" t="str">
        <v>g</v>
      </c>
      <c r="Q16" s="14" t="n">
        <v>40</v>
      </c>
      <c r="R16" s="14" t="n">
        <v>150</v>
      </c>
      <c r="S16" s="14" t="n">
        <v>5</v>
      </c>
      <c r="T16" s="14" t="str">
        <v>按可食部净重；带骨整鱼重量不可直接代替</v>
      </c>
      <c r="U16" s="14" t="str">
        <v>家庭量可辅助说明；数据库与处方以g/ml/个为真值</v>
      </c>
      <c r="V16" s="16" t="str">
        <v>MDT确认后可作为AI_GENERATED_DISH基础原料</v>
      </c>
      <c r="W16" s="16" t="str">
        <v>fish</v>
      </c>
      <c r="X16" s="16" t="str"/>
      <c r="Y16" s="16" t="str">
        <v>urate/renal_protein_review</v>
      </c>
      <c r="Z16" s="16" t="str">
        <v>normal; cook-soft-if-needed</v>
      </c>
      <c r="AA16" s="16" t="str">
        <v>推荐</v>
      </c>
      <c r="AB16" s="16" t="str">
        <v>推荐</v>
      </c>
      <c r="AC16" s="16" t="str">
        <v>D/E营养恢复时可作为主蛋白候选；总量仍服从肾功能、尿酸、过敏/耐受和蛋白目标。</v>
      </c>
      <c r="AD16" s="16" t="str">
        <v>AI可提出候选克重；必须在min/max/step内执行化。任何取整、替换、配方改变后由认可营养计算源重算；患者端显示g/ml/个，不能只显示“份”。</v>
      </c>
      <c r="AE16" s="16" t="str">
        <v>ZXY项目工程候选：参考T/CNSS交换份、中国居民膳食指南的食物组范围、当前49组件base用量和家庭可执行性；不是指南直接规定的单项处方边界。</v>
      </c>
      <c r="AF16" s="16" t="str">
        <v>CDC直接条目+项目执行规则</v>
      </c>
      <c r="AG16" s="16" t="str">
        <v>常规</v>
      </c>
      <c r="AH16" s="18" t="str">
        <v>ACTIVE</v>
      </c>
      <c r="AI16" s="18" t="str">
        <v>确认</v>
      </c>
      <c r="AJ16" s="18" t="str">
        <v>MDT按项目统一原则确认，可用于STANDARD_COMPONENT与AI_GENERATED_DISH的EXACT营养计算。</v>
      </c>
      <c r="AK16" s="18" t="str"/>
      <c r="AL16" s="18"/>
      <c r="AM16" s="2" t="str">
        <f>IF(OR(A16="",B16="",G16="",O16="",P16="",Q16="",R16="",S16="",COUNT(J16:M16)&lt;4),"MISSING_FIELDS",IF(OR(G16="PRODUCT_LABEL_REQUIRED",G16="PROJECT_REFERENCE_PENDING_MDT",G16="DERIVED_PROJECT_CANDIDATE_PENDING_MDT",G16="SPECIES_MATCH_REQUIRED",G16="IDENTITY_REVIEW_REQUIRED"),"SOURCE_REVIEW_REQUIRED",IF(AH16&lt;&gt;"ACTIVE","MDT_APPROVAL_REQUIRED","READY_FOR_USE")))</f>
        <v>READY_FOR_USE</v>
      </c>
      <c r="AN16" s="2" t="str">
        <v>per_100g</v>
      </c>
      <c r="AO16" s="2" t="str">
        <v>ACTIVE_FOR_EXACT</v>
      </c>
      <c r="AP16" s="2" t="str">
        <v>MDT按项目统一原则确认，可用于STANDARD_COMPONENT与AI_GENERATED_DISH的EXACT营养计算。</v>
      </c>
    </row>
    <row r="17">
      <c r="A17" s="2" t="str">
        <v>ING016</v>
      </c>
      <c r="B17" s="2" t="str">
        <v>鳕鱼</v>
      </c>
      <c r="C17" s="2" t="str">
        <v>鳕鱼[鳕狭，明太鱼]</v>
      </c>
      <c r="D17" s="2" t="str">
        <v>动物性蛋白</v>
      </c>
      <c r="E17" s="2" t="str">
        <v>鱼虾水产</v>
      </c>
      <c r="F17" s="2" t="str">
        <v>P002</v>
      </c>
      <c r="G17" s="12" t="str">
        <v>CDC_EXACT</v>
      </c>
      <c r="H17" s="12" t="n">
        <v>374</v>
      </c>
      <c r="I17" s="12"/>
      <c r="J17" s="12" t="n">
        <f>IF(H17&lt;&gt;"",ROUND(H17/4.184,1),I17)</f>
        <v>89.4</v>
      </c>
      <c r="K17" s="12" t="n">
        <v>20.4</v>
      </c>
      <c r="L17" s="12" t="n">
        <v>0.5</v>
      </c>
      <c r="M17" s="12" t="n">
        <v>0.5</v>
      </c>
      <c r="N17" s="12" t="str">
        <v>https://nlc.chinanutri.cn/fq/foodinfo/1062.html</v>
      </c>
      <c r="O17" s="14" t="str">
        <v>raw_edible_weight（烹调前可食部）</v>
      </c>
      <c r="P17" s="14" t="str">
        <v>g</v>
      </c>
      <c r="Q17" s="14" t="n">
        <v>40</v>
      </c>
      <c r="R17" s="14" t="n">
        <v>150</v>
      </c>
      <c r="S17" s="14" t="n">
        <v>5</v>
      </c>
      <c r="T17" s="14" t="str">
        <v>按可食部净重；带骨整鱼重量不可直接代替</v>
      </c>
      <c r="U17" s="14" t="str">
        <v>家庭量可辅助说明；数据库与处方以g/ml/个为真值</v>
      </c>
      <c r="V17" s="16" t="str">
        <v>MDT确认后可作为AI_GENERATED_DISH基础原料</v>
      </c>
      <c r="W17" s="16" t="str">
        <v>fish</v>
      </c>
      <c r="X17" s="16" t="str"/>
      <c r="Y17" s="16" t="str">
        <v>urate/renal_protein_review</v>
      </c>
      <c r="Z17" s="16" t="str">
        <v>normal; cook-soft-if-needed</v>
      </c>
      <c r="AA17" s="16" t="str">
        <v>推荐</v>
      </c>
      <c r="AB17" s="16" t="str">
        <v>推荐</v>
      </c>
      <c r="AC17" s="16" t="str">
        <v>D/E营养恢复时可作为主蛋白候选；总量仍服从肾功能、尿酸、过敏/耐受和蛋白目标。</v>
      </c>
      <c r="AD17" s="16" t="str">
        <v>AI可提出候选克重；必须在min/max/step内执行化。任何取整、替换、配方改变后由认可营养计算源重算；患者端显示g/ml/个，不能只显示“份”。</v>
      </c>
      <c r="AE17" s="16" t="str">
        <v>ZXY项目工程候选：参考T/CNSS交换份、中国居民膳食指南的食物组范围、当前49组件base用量和家庭可执行性；不是指南直接规定的单项处方边界。</v>
      </c>
      <c r="AF17" s="16" t="str">
        <v>CDC直接条目+项目执行规则</v>
      </c>
      <c r="AG17" s="16" t="str">
        <v>常规</v>
      </c>
      <c r="AH17" s="18" t="str">
        <v>ACTIVE</v>
      </c>
      <c r="AI17" s="18" t="str">
        <v>确认</v>
      </c>
      <c r="AJ17" s="18" t="str">
        <v>MDT按项目统一原则确认，可用于STANDARD_COMPONENT与AI_GENERATED_DISH的EXACT营养计算。</v>
      </c>
      <c r="AK17" s="18" t="str"/>
      <c r="AL17" s="18"/>
      <c r="AM17" s="2" t="str">
        <f>IF(OR(A17="",B17="",G17="",O17="",P17="",Q17="",R17="",S17="",COUNT(J17:M17)&lt;4),"MISSING_FIELDS",IF(OR(G17="PRODUCT_LABEL_REQUIRED",G17="PROJECT_REFERENCE_PENDING_MDT",G17="DERIVED_PROJECT_CANDIDATE_PENDING_MDT",G17="SPECIES_MATCH_REQUIRED",G17="IDENTITY_REVIEW_REQUIRED"),"SOURCE_REVIEW_REQUIRED",IF(AH17&lt;&gt;"ACTIVE","MDT_APPROVAL_REQUIRED","READY_FOR_USE")))</f>
        <v>READY_FOR_USE</v>
      </c>
      <c r="AN17" s="2" t="str">
        <v>per_100g</v>
      </c>
      <c r="AO17" s="2" t="str">
        <v>ACTIVE_FOR_EXACT</v>
      </c>
      <c r="AP17" s="2" t="str">
        <v>MDT按项目统一原则确认，可用于STANDARD_COMPONENT与AI_GENERATED_DISH的EXACT营养计算。</v>
      </c>
    </row>
    <row r="18">
      <c r="A18" s="2" t="str">
        <v>ING017</v>
      </c>
      <c r="B18" s="2" t="str">
        <v>鸡胸肉</v>
      </c>
      <c r="C18" s="2" t="str">
        <v>鸡胸脯肉</v>
      </c>
      <c r="D18" s="2" t="str">
        <v>动物性蛋白</v>
      </c>
      <c r="E18" s="2" t="str">
        <v>禽肉</v>
      </c>
      <c r="F18" s="2" t="str">
        <v>P003,P011</v>
      </c>
      <c r="G18" s="12" t="str">
        <v>CDC_EXACT</v>
      </c>
      <c r="H18" s="12" t="n">
        <v>557</v>
      </c>
      <c r="I18" s="12"/>
      <c r="J18" s="12" t="n">
        <f>IF(H18&lt;&gt;"",ROUND(H18/4.184,1),I18)</f>
        <v>133.1</v>
      </c>
      <c r="K18" s="12" t="n">
        <v>19.4</v>
      </c>
      <c r="L18" s="12" t="n">
        <v>2.5</v>
      </c>
      <c r="M18" s="12" t="n">
        <v>5</v>
      </c>
      <c r="N18" s="12" t="str">
        <v>https://nlc.chinanutri.cn/fq/foodinfo/880.html</v>
      </c>
      <c r="O18" s="14" t="str">
        <v>raw_edible_weight（烹调前可食部）</v>
      </c>
      <c r="P18" s="14" t="str">
        <v>g</v>
      </c>
      <c r="Q18" s="14" t="n">
        <v>30</v>
      </c>
      <c r="R18" s="14" t="n">
        <v>150</v>
      </c>
      <c r="S18" s="14" t="n">
        <v>5</v>
      </c>
      <c r="T18" s="14" t="str">
        <v>按烹调前可食部；患者端可辅以掌心量，但克重为真值</v>
      </c>
      <c r="U18" s="14" t="str">
        <v>家庭量可辅助说明；数据库与处方以g/ml/个为真值</v>
      </c>
      <c r="V18" s="16" t="str">
        <v>MDT确认后可作为AI_GENERATED_DISH基础原料</v>
      </c>
      <c r="W18" s="16" t="str"/>
      <c r="X18" s="16" t="str"/>
      <c r="Y18" s="16" t="str">
        <v>urate/renal_protein_review</v>
      </c>
      <c r="Z18" s="16" t="str">
        <v>normal; soft-if-needed</v>
      </c>
      <c r="AA18" s="16" t="str">
        <v>推荐</v>
      </c>
      <c r="AB18" s="16" t="str">
        <v>推荐</v>
      </c>
      <c r="AC18" s="16" t="str">
        <v>D/E营养恢复时可作为主蛋白候选；总量仍服从肾功能、尿酸、过敏/耐受和蛋白目标。</v>
      </c>
      <c r="AD18" s="16" t="str">
        <v>AI可提出候选克重；必须在min/max/step内执行化。任何取整、替换、配方改变后由认可营养计算源重算；患者端显示g/ml/个，不能只显示“份”。</v>
      </c>
      <c r="AE18" s="16" t="str">
        <v>ZXY项目工程候选：参考T/CNSS交换份、中国居民膳食指南的食物组范围、当前49组件base用量和家庭可执行性；不是指南直接规定的单项处方边界。</v>
      </c>
      <c r="AF18" s="16" t="str">
        <v>CDC直接条目+项目执行规则</v>
      </c>
      <c r="AG18" s="16" t="str">
        <v>常规</v>
      </c>
      <c r="AH18" s="18" t="str">
        <v>ACTIVE</v>
      </c>
      <c r="AI18" s="18" t="str">
        <v>确认</v>
      </c>
      <c r="AJ18" s="18" t="str">
        <v>MDT按项目统一原则确认，可用于STANDARD_COMPONENT与AI_GENERATED_DISH的EXACT营养计算。</v>
      </c>
      <c r="AK18" s="18" t="str"/>
      <c r="AL18" s="18"/>
      <c r="AM18" s="2" t="str">
        <f>IF(OR(A18="",B18="",G18="",O18="",P18="",Q18="",R18="",S18="",COUNT(J18:M18)&lt;4),"MISSING_FIELDS",IF(OR(G18="PRODUCT_LABEL_REQUIRED",G18="PROJECT_REFERENCE_PENDING_MDT",G18="DERIVED_PROJECT_CANDIDATE_PENDING_MDT",G18="SPECIES_MATCH_REQUIRED",G18="IDENTITY_REVIEW_REQUIRED"),"SOURCE_REVIEW_REQUIRED",IF(AH18&lt;&gt;"ACTIVE","MDT_APPROVAL_REQUIRED","READY_FOR_USE")))</f>
        <v>READY_FOR_USE</v>
      </c>
      <c r="AN18" s="2" t="str">
        <v>per_100g</v>
      </c>
      <c r="AO18" s="2" t="str">
        <v>ACTIVE_FOR_EXACT</v>
      </c>
      <c r="AP18" s="2" t="str">
        <v>MDT按项目统一原则确认，可用于STANDARD_COMPONENT与AI_GENERATED_DISH的EXACT营养计算。</v>
      </c>
    </row>
    <row r="19">
      <c r="A19" s="2" t="str">
        <v>ING018</v>
      </c>
      <c r="B19" s="2" t="str">
        <v>鸡腿肉去皮</v>
      </c>
      <c r="C19" s="2" t="str">
        <v>去皮鸡腿肉（由项目原配方反推的候选值；CDC现有鸡腿条目非去皮）</v>
      </c>
      <c r="D19" s="2" t="str">
        <v>动物性蛋白</v>
      </c>
      <c r="E19" s="2" t="str">
        <v>禽肉</v>
      </c>
      <c r="F19" s="2" t="str">
        <v>P004</v>
      </c>
      <c r="G19" s="12" t="str">
        <v>DERIVED_PROJECT_CANDIDATE_PENDING_MDT</v>
      </c>
      <c r="H19" s="12"/>
      <c r="I19" s="12" t="n">
        <v>146.5</v>
      </c>
      <c r="J19" s="12" t="n">
        <f>IF(H19&lt;&gt;"",ROUND(H19/4.184,1),I19)</f>
        <v>146.5</v>
      </c>
      <c r="K19" s="12" t="n">
        <v>20.2</v>
      </c>
      <c r="L19" s="12" t="n">
        <v>0</v>
      </c>
      <c r="M19" s="12" t="n">
        <v>7</v>
      </c>
      <c r="N19" s="12" t="str">
        <v>https://nlc.chinanutri.cn/fq/foodinfo/882.html</v>
      </c>
      <c r="O19" s="14" t="str">
        <v>raw_edible_weight（烹调前可食部）</v>
      </c>
      <c r="P19" s="14" t="str">
        <v>g</v>
      </c>
      <c r="Q19" s="14" t="n">
        <v>30</v>
      </c>
      <c r="R19" s="14" t="n">
        <v>150</v>
      </c>
      <c r="S19" s="14" t="n">
        <v>5</v>
      </c>
      <c r="T19" s="14" t="str">
        <v>按烹调前可食部；患者端可辅以掌心量，但克重为真值</v>
      </c>
      <c r="U19" s="14" t="str">
        <v>家庭量可辅助说明；数据库与处方以g/ml/个为真值</v>
      </c>
      <c r="V19" s="16" t="str">
        <v>仅审核候选；MDT确认或匹配认可数据库后方可进入EXACT计算</v>
      </c>
      <c r="W19" s="16" t="str"/>
      <c r="X19" s="16" t="str"/>
      <c r="Y19" s="16" t="str">
        <v>lipid_review,urate/renal_protein_review</v>
      </c>
      <c r="Z19" s="16" t="str">
        <v>normal; cook-soft-if-needed</v>
      </c>
      <c r="AA19" s="16" t="str">
        <v>推荐</v>
      </c>
      <c r="AB19" s="16" t="str">
        <v>推荐</v>
      </c>
      <c r="AC19" s="16" t="str">
        <v>D/E营养恢复时可作为主蛋白候选；总量仍服从肾功能、尿酸、过敏/耐受和蛋白目标。</v>
      </c>
      <c r="AD19" s="16" t="str">
        <v>AI可提出候选克重；必须在min/max/step内执行化。任何取整、替换、配方改变后由认可营养计算源重算；患者端显示g/ml/个，不能只显示“份”。</v>
      </c>
      <c r="AE19" s="16" t="str">
        <v>ZXY项目工程候选：参考T/CNSS交换份、中国居民膳食指南的食物组范围、当前49组件base用量和家庭可执行性；不是指南直接规定的单项处方边界。</v>
      </c>
      <c r="AF19" s="16" t="str">
        <v>项目候选/标签/身份确认+项目执行规则</v>
      </c>
      <c r="AG19" s="16" t="str">
        <v>高</v>
      </c>
      <c r="AH19" s="18" t="str">
        <v>PENDING_MDT</v>
      </c>
      <c r="AI19" s="18" t="str">
        <v>规则确认，来源待补</v>
      </c>
      <c r="AJ19" s="18" t="str">
        <v>MDT同意重量口径及AI候选min/max/step；需补实际产品标签、精确食物条目或身份/品种确认后，方可用于EXACT计算并转ACTIVE。</v>
      </c>
      <c r="AK19" s="18" t="str"/>
      <c r="AL19" s="18"/>
      <c r="AM19" s="2" t="str">
        <f>IF(OR(A19="",B19="",G19="",O19="",P19="",Q19="",R19="",S19="",COUNT(J19:M19)&lt;4),"MISSING_FIELDS",IF(OR(G19="PRODUCT_LABEL_REQUIRED",G19="PROJECT_REFERENCE_PENDING_MDT",G19="DERIVED_PROJECT_CANDIDATE_PENDING_MDT",G19="SPECIES_MATCH_REQUIRED",G19="IDENTITY_REVIEW_REQUIRED"),"SOURCE_REVIEW_REQUIRED",IF(AH19&lt;&gt;"ACTIVE","MDT_APPROVAL_REQUIRED","READY_FOR_USE")))</f>
        <v>SOURCE_REVIEW_REQUIRED</v>
      </c>
      <c r="AN19" s="2" t="str">
        <v>per_100g</v>
      </c>
      <c r="AO19" s="2" t="str">
        <v>RULE_APPROVED_SOURCE_PENDING</v>
      </c>
      <c r="AP19" s="2" t="str">
        <v>MDT同意重量口径及AI候选min/max/step；需补实际产品标签、精确食物条目或身份/品种确认后，方可用于EXACT计算并转ACTIVE。</v>
      </c>
    </row>
    <row r="20">
      <c r="A20" s="2" t="str">
        <v>ING019</v>
      </c>
      <c r="B20" s="2" t="str">
        <v>鸡蛋</v>
      </c>
      <c r="C20" s="2" t="str">
        <v>蛋（鸡蛋，均值)</v>
      </c>
      <c r="D20" s="2" t="str">
        <v>动物性蛋白</v>
      </c>
      <c r="E20" s="2" t="str">
        <v>蛋类</v>
      </c>
      <c r="F20" s="2" t="str">
        <v>P007,P009,P014,P015,S009</v>
      </c>
      <c r="G20" s="12" t="str">
        <v>CDC_EXACT</v>
      </c>
      <c r="H20" s="12" t="n">
        <v>599</v>
      </c>
      <c r="I20" s="12"/>
      <c r="J20" s="12" t="n">
        <f>IF(H20&lt;&gt;"",ROUND(H20/4.184,1),I20)</f>
        <v>143.2</v>
      </c>
      <c r="K20" s="12" t="n">
        <v>13.3</v>
      </c>
      <c r="L20" s="12" t="n">
        <v>2.8</v>
      </c>
      <c r="M20" s="12" t="n">
        <v>8.8</v>
      </c>
      <c r="N20" s="12" t="str">
        <v>https://nlc.chinanutri.cn/fq/foodinfo/978.html</v>
      </c>
      <c r="O20" s="14" t="str">
        <v>whole_unit + edible_weight</v>
      </c>
      <c r="P20" s="14" t="str">
        <v>g</v>
      </c>
      <c r="Q20" s="14" t="n">
        <v>50</v>
      </c>
      <c r="R20" s="14" t="n">
        <v>100</v>
      </c>
      <c r="S20" s="14" t="n">
        <v>50</v>
      </c>
      <c r="T20" s="14" t="str">
        <v>离散单位：1个≈50g可食部候选；只用整枚，不用0.75个</v>
      </c>
      <c r="U20" s="14" t="str">
        <v>1个≈50g可食部（项目候选）</v>
      </c>
      <c r="V20" s="16" t="str">
        <v>MDT确认后可作为AI_GENERATED_DISH基础原料</v>
      </c>
      <c r="W20" s="16" t="str">
        <v>egg</v>
      </c>
      <c r="X20" s="16" t="str"/>
      <c r="Y20" s="16" t="str">
        <v>lipid_review</v>
      </c>
      <c r="Z20" s="16" t="str">
        <v>soft/easy</v>
      </c>
      <c r="AA20" s="16" t="str">
        <v>推荐</v>
      </c>
      <c r="AB20" s="16" t="str">
        <v>推荐</v>
      </c>
      <c r="AC20" s="16" t="str">
        <v>D/E营养恢复时可作为主蛋白候选；总量仍服从肾功能、尿酸、过敏/耐受和蛋白目标。</v>
      </c>
      <c r="AD20" s="16" t="str">
        <v>AI可提出候选克重；必须在min/max/step内执行化。任何取整、替换、配方改变后由认可营养计算源重算；患者端显示g/ml/个，不能只显示“份”。</v>
      </c>
      <c r="AE20" s="16" t="str">
        <v>ZXY项目工程候选：参考T/CNSS交换份、中国居民膳食指南的食物组范围、当前49组件base用量和家庭可执行性；不是指南直接规定的单项处方边界。</v>
      </c>
      <c r="AF20" s="16" t="str">
        <v>CDC直接条目+项目执行规则</v>
      </c>
      <c r="AG20" s="16" t="str">
        <v>常规</v>
      </c>
      <c r="AH20" s="18" t="str">
        <v>ACTIVE</v>
      </c>
      <c r="AI20" s="18" t="str">
        <v>确认</v>
      </c>
      <c r="AJ20" s="18" t="str">
        <v>MDT按项目统一原则确认，可用于STANDARD_COMPONENT与AI_GENERATED_DISH的EXACT营养计算。</v>
      </c>
      <c r="AK20" s="18" t="str"/>
      <c r="AL20" s="18"/>
      <c r="AM20" s="2" t="str">
        <f>IF(OR(A20="",B20="",G20="",O20="",P20="",Q20="",R20="",S20="",COUNT(J20:M20)&lt;4),"MISSING_FIELDS",IF(OR(G20="PRODUCT_LABEL_REQUIRED",G20="PROJECT_REFERENCE_PENDING_MDT",G20="DERIVED_PROJECT_CANDIDATE_PENDING_MDT",G20="SPECIES_MATCH_REQUIRED",G20="IDENTITY_REVIEW_REQUIRED"),"SOURCE_REVIEW_REQUIRED",IF(AH20&lt;&gt;"ACTIVE","MDT_APPROVAL_REQUIRED","READY_FOR_USE")))</f>
        <v>READY_FOR_USE</v>
      </c>
      <c r="AN20" s="2" t="str">
        <v>per_100g</v>
      </c>
      <c r="AO20" s="2" t="str">
        <v>ACTIVE_FOR_EXACT</v>
      </c>
      <c r="AP20" s="2" t="str">
        <v>MDT按项目统一原则确认，可用于STANDARD_COMPONENT与AI_GENERATED_DISH的EXACT营养计算。</v>
      </c>
    </row>
    <row r="21">
      <c r="A21" s="2" t="str">
        <v>ING020</v>
      </c>
      <c r="B21" s="2" t="str">
        <v>北豆腐</v>
      </c>
      <c r="C21" s="2" t="str">
        <v>豆腐(北)</v>
      </c>
      <c r="D21" s="2" t="str">
        <v>植物性蛋白</v>
      </c>
      <c r="E21" s="2" t="str">
        <v>豆制品</v>
      </c>
      <c r="F21" s="2" t="str">
        <v>P008,P013,P014</v>
      </c>
      <c r="G21" s="12" t="str">
        <v>CDC_EXACT</v>
      </c>
      <c r="H21" s="12" t="n">
        <v>415</v>
      </c>
      <c r="I21" s="12"/>
      <c r="J21" s="12" t="n">
        <f>IF(H21&lt;&gt;"",ROUND(H21/4.184,1),I21)</f>
        <v>99.2</v>
      </c>
      <c r="K21" s="12" t="n">
        <v>12.2</v>
      </c>
      <c r="L21" s="12" t="n">
        <v>2</v>
      </c>
      <c r="M21" s="12" t="n">
        <v>4.8</v>
      </c>
      <c r="N21" s="12" t="str">
        <v>https://nlc.chinanutri.cn/fq/foodinfo/334.html</v>
      </c>
      <c r="O21" s="14" t="str">
        <v>raw_edible_weight（烹调前可食部）</v>
      </c>
      <c r="P21" s="14" t="str">
        <v>g</v>
      </c>
      <c r="Q21" s="14" t="n">
        <v>50</v>
      </c>
      <c r="R21" s="14" t="n">
        <v>200</v>
      </c>
      <c r="S21" s="14" t="n">
        <v>10</v>
      </c>
      <c r="T21" s="14" t="str">
        <v>按可食部净重</v>
      </c>
      <c r="U21" s="14" t="str">
        <v>家庭量可辅助说明；数据库与处方以g/ml/个为真值</v>
      </c>
      <c r="V21" s="16" t="str">
        <v>MDT确认后可作为AI_GENERATED_DISH基础原料</v>
      </c>
      <c r="W21" s="16" t="str">
        <v>soy</v>
      </c>
      <c r="X21" s="16" t="str">
        <v>胃肠胀气/不耐受时调整或替换</v>
      </c>
      <c r="Y21" s="16" t="str"/>
      <c r="Z21" s="16" t="str">
        <v>soft/easy</v>
      </c>
      <c r="AA21" s="16" t="str">
        <v>推荐</v>
      </c>
      <c r="AB21" s="16" t="str">
        <v>推荐</v>
      </c>
      <c r="AC21" s="16" t="str">
        <v>D/E营养恢复时可作为主蛋白候选；总量仍服从肾功能、尿酸、过敏/耐受和蛋白目标。</v>
      </c>
      <c r="AD21" s="16" t="str">
        <v>AI可提出候选克重；必须在min/max/step内执行化。任何取整、替换、配方改变后由认可营养计算源重算；患者端显示g/ml/个，不能只显示“份”。</v>
      </c>
      <c r="AE21" s="16" t="str">
        <v>ZXY项目工程候选：参考T/CNSS交换份、中国居民膳食指南的食物组范围、当前49组件base用量和家庭可执行性；不是指南直接规定的单项处方边界。</v>
      </c>
      <c r="AF21" s="16" t="str">
        <v>CDC直接条目+项目执行规则</v>
      </c>
      <c r="AG21" s="16" t="str">
        <v>常规</v>
      </c>
      <c r="AH21" s="18" t="str">
        <v>ACTIVE</v>
      </c>
      <c r="AI21" s="18" t="str">
        <v>确认</v>
      </c>
      <c r="AJ21" s="18" t="str">
        <v>MDT按项目统一原则确认，可用于STANDARD_COMPONENT与AI_GENERATED_DISH的EXACT营养计算。</v>
      </c>
      <c r="AK21" s="18" t="str"/>
      <c r="AL21" s="18"/>
      <c r="AM21" s="2" t="str">
        <f>IF(OR(A21="",B21="",G21="",O21="",P21="",Q21="",R21="",S21="",COUNT(J21:M21)&lt;4),"MISSING_FIELDS",IF(OR(G21="PRODUCT_LABEL_REQUIRED",G21="PROJECT_REFERENCE_PENDING_MDT",G21="DERIVED_PROJECT_CANDIDATE_PENDING_MDT",G21="SPECIES_MATCH_REQUIRED",G21="IDENTITY_REVIEW_REQUIRED"),"SOURCE_REVIEW_REQUIRED",IF(AH21&lt;&gt;"ACTIVE","MDT_APPROVAL_REQUIRED","READY_FOR_USE")))</f>
        <v>READY_FOR_USE</v>
      </c>
      <c r="AN21" s="2" t="str">
        <v>per_100g</v>
      </c>
      <c r="AO21" s="2" t="str">
        <v>ACTIVE_FOR_EXACT</v>
      </c>
      <c r="AP21" s="2" t="str">
        <v>MDT按项目统一原则确认，可用于STANDARD_COMPONENT与AI_GENERATED_DISH的EXACT营养计算。</v>
      </c>
    </row>
    <row r="22">
      <c r="A22" s="2" t="str">
        <v>ING021</v>
      </c>
      <c r="B22" s="2" t="str">
        <v>低脂牛奶</v>
      </c>
      <c r="C22" s="2" t="str">
        <v>牛乳(部分脱脂，帕玛拉特)标准参考；实际产品标签优先</v>
      </c>
      <c r="D22" s="2" t="str">
        <v>乳类</v>
      </c>
      <c r="E22" s="2" t="str">
        <v>奶/酸奶</v>
      </c>
      <c r="F22" s="2" t="str">
        <v>P015,S001,S004,S006,S008</v>
      </c>
      <c r="G22" s="12" t="str">
        <v>PRODUCT_LABEL_REQUIRED</v>
      </c>
      <c r="H22" s="12" t="n">
        <v>182</v>
      </c>
      <c r="I22" s="12"/>
      <c r="J22" s="12" t="n">
        <f>IF(H22&lt;&gt;"",ROUND(H22/4.184,1),I22)</f>
        <v>43.5</v>
      </c>
      <c r="K22" s="12" t="n">
        <v>2.9</v>
      </c>
      <c r="L22" s="12" t="n">
        <v>5</v>
      </c>
      <c r="M22" s="12" t="n">
        <v>1.3</v>
      </c>
      <c r="N22" s="12" t="str">
        <v>https://nlc.chinanutri.cn/fq/foodinfo/927.html</v>
      </c>
      <c r="O22" s="14" t="str">
        <v>package_volume（包装/量具容量）</v>
      </c>
      <c r="P22" s="14" t="str">
        <v>ml</v>
      </c>
      <c r="Q22" s="14" t="n">
        <v>100</v>
      </c>
      <c r="R22" s="14" t="n">
        <v>300</v>
      </c>
      <c r="S22" s="14" t="n">
        <v>50</v>
      </c>
      <c r="T22" s="14" t="str">
        <v>包装/量具容量；精确营养以实际产品标签</v>
      </c>
      <c r="U22" s="14" t="str">
        <v>约1杯/小盒；以实际ml为准</v>
      </c>
      <c r="V22" s="16" t="str">
        <v>可用于结构候选；EXACT模式前必须绑定实际产品营养标签</v>
      </c>
      <c r="W22" s="16" t="str">
        <v>milk</v>
      </c>
      <c r="X22" s="16" t="str">
        <v>乳糖不耐受与牛奶蛋白过敏须区分；按耐受/替代规则处理</v>
      </c>
      <c r="Y22" s="16" t="str">
        <v>lipid_review,product_sodium/sugar_label_review</v>
      </c>
      <c r="Z22" s="16" t="str">
        <v>soft/easy</v>
      </c>
      <c r="AA22" s="16" t="str">
        <v>推荐</v>
      </c>
      <c r="AB22" s="16" t="str">
        <v>推荐</v>
      </c>
      <c r="AC22" s="16" t="str">
        <v>可作为小体积加餐/蛋白来源；包装标签、乳糖/大豆耐受必须先确认。</v>
      </c>
      <c r="AD22" s="16" t="str">
        <v>AI可提出候选克重；必须在min/max/step内执行化。任何取整、替换、配方改变后由认可营养计算源重算；患者端显示g/ml/个，不能只显示“份”。</v>
      </c>
      <c r="AE22" s="16" t="str">
        <v>ZXY项目工程候选：参考T/CNSS交换份、中国居民膳食指南的食物组范围、当前49组件base用量和家庭可执行性；不是指南直接规定的单项处方边界。</v>
      </c>
      <c r="AF22" s="16" t="str">
        <v>项目候选/标签/身份确认+项目执行规则</v>
      </c>
      <c r="AG22" s="16" t="str">
        <v>高</v>
      </c>
      <c r="AH22" s="18" t="str">
        <v>PENDING_MDT</v>
      </c>
      <c r="AI22" s="18" t="str">
        <v>规则确认，来源待补</v>
      </c>
      <c r="AJ22" s="18" t="str">
        <v>MDT同意重量口径及AI候选min/max/step；需补实际产品标签、精确食物条目或身份/品种确认后，方可用于EXACT计算并转ACTIVE。</v>
      </c>
      <c r="AK22" s="18" t="str"/>
      <c r="AL22" s="18"/>
      <c r="AM22" s="2" t="str">
        <f>IF(OR(A22="",B22="",G22="",O22="",P22="",Q22="",R22="",S22="",COUNT(J22:M22)&lt;4),"MISSING_FIELDS",IF(OR(G22="PRODUCT_LABEL_REQUIRED",G22="PROJECT_REFERENCE_PENDING_MDT",G22="DERIVED_PROJECT_CANDIDATE_PENDING_MDT",G22="SPECIES_MATCH_REQUIRED",G22="IDENTITY_REVIEW_REQUIRED"),"SOURCE_REVIEW_REQUIRED",IF(AH22&lt;&gt;"ACTIVE","MDT_APPROVAL_REQUIRED","READY_FOR_USE")))</f>
        <v>SOURCE_REVIEW_REQUIRED</v>
      </c>
      <c r="AN22" s="2" t="str">
        <v>per_100ml</v>
      </c>
      <c r="AO22" s="2" t="str">
        <v>RULE_APPROVED_SOURCE_PENDING</v>
      </c>
      <c r="AP22" s="2" t="str">
        <v>MDT同意重量口径及AI候选min/max/step；需补实际产品标签、精确食物条目或身份/品种确认后，方可用于EXACT计算并转ACTIVE。</v>
      </c>
    </row>
    <row r="23">
      <c r="A23" s="2" t="str">
        <v>ING022</v>
      </c>
      <c r="B23" s="2" t="str">
        <v>无糖酸奶</v>
      </c>
      <c r="C23" s="2" t="str">
        <v>乳品（酸奶，均值)标准参考；“无糖”需实际标签确认</v>
      </c>
      <c r="D23" s="2" t="str">
        <v>乳类</v>
      </c>
      <c r="E23" s="2" t="str">
        <v>奶/酸奶</v>
      </c>
      <c r="F23" s="2" t="str">
        <v>S002,S005,S010</v>
      </c>
      <c r="G23" s="12" t="inlineStr">
        <is>
          <t>PRODUCT_LABEL_CONFIRMED</t>
        </is>
      </c>
      <c r="H23" s="12">
        <v>230.12</v>
      </c>
      <c r="I23" s="12" t="inlineStr">
        <is>
          <t/>
        </is>
      </c>
      <c r="J23" s="12">
        <f>IF(H23&lt;&gt;"",ROUND(H23/4.184,1),I23)</f>
        <v>55.0</v>
      </c>
      <c r="K23" s="12">
        <v>9.2</v>
      </c>
      <c r="L23" s="12">
        <v>6.2</v>
      </c>
      <c r="M23" s="12">
        <v>0.0</v>
      </c>
      <c r="N23" s="12" t="inlineStr">
        <is>
          <t>https://www.meiji.co.jp/corporate/pressrelease/2018/20180322_02.html</t>
        </is>
      </c>
      <c r="O23" s="14" t="str">
        <v>package_net_weight</v>
      </c>
      <c r="P23" s="14" t="str">
        <v>g</v>
      </c>
      <c r="Q23" s="14" t="n">
        <v>100</v>
      </c>
      <c r="R23" s="14" t="n">
        <v>200</v>
      </c>
      <c r="S23" s="14" t="n">
        <v>50</v>
      </c>
      <c r="T23" s="14" t="str">
        <v>包装净含量；精确营养以实际“无糖”产品标签</v>
      </c>
      <c r="U23" s="14" t="str">
        <v>约1杯/盒；以实际净含量g为准</v>
      </c>
      <c r="V23" s="16" t="str">
        <v>可用于结构候选；EXACT模式前必须绑定实际产品营养标签</v>
      </c>
      <c r="W23" s="16" t="str">
        <v>milk</v>
      </c>
      <c r="X23" s="16" t="str">
        <v>乳糖不耐受与牛奶蛋白过敏须区分；按耐受/替代规则处理</v>
      </c>
      <c r="Y23" s="16" t="str">
        <v>lipid_review,product_sodium/sugar_label_review</v>
      </c>
      <c r="Z23" s="16" t="str">
        <v>soft/easy</v>
      </c>
      <c r="AA23" s="16" t="str">
        <v>推荐</v>
      </c>
      <c r="AB23" s="16" t="str">
        <v>推荐</v>
      </c>
      <c r="AC23" s="16" t="str">
        <v>可作为小体积加餐/蛋白来源；包装标签、乳糖/大豆耐受必须先确认。</v>
      </c>
      <c r="AD23" s="16" t="str">
        <v>AI可提出候选克重；必须在min/max/step内执行化。任何取整、替换、配方改变后由认可营养计算源重算；患者端显示g/ml/个，不能只显示“份”。</v>
      </c>
      <c r="AE23" s="16" t="str">
        <v>ZXY项目工程候选：参考T/CNSS交换份、中国居民膳食指南的食物组范围、当前49组件base用量和家庭可执行性；不是指南直接规定的单项处方边界。</v>
      </c>
      <c r="AF23" s="16" t="str">
        <v>项目候选/标签/身份确认+项目执行规则</v>
      </c>
      <c r="AG23" s="16" t="str">
        <v>高</v>
      </c>
      <c r="AH23" s="18" t="inlineStr">
        <is>
          <t>ACTIVE</t>
        </is>
      </c>
      <c r="AI23" s="18" t="inlineStr">
        <is>
          <t>确认</t>
        </is>
      </c>
      <c r="AJ23" s="18" t="inlineStr">
        <is>
          <t>已核对明治 THE GREEK YOGURT 砂糖0 官方产品标签；该来源仅适用于明确产品身份，不外推为所有无糖酸奶。</t>
        </is>
      </c>
      <c r="AK23" s="18" t="str"/>
      <c r="AL23" s="18"/>
      <c r="AM23" s="2">
        <f>IF(OR(A23="",B23="",G23="",O23="",P23="",Q23="",R23="",S23="",COUNT(J23:M23)&lt;4),"MISSING_FIELDS",IF(OR(G23="PRODUCT_LABEL_REQUIRED",G23="PROJECT_REFERENCE_PENDING_MDT",G23="DERIVED_PROJECT_CANDIDATE_PENDING_MDT",G23="SPECIES_MATCH_REQUIRED",G23="IDENTITY_REVIEW_REQUIRED"),"SOURCE_REVIEW_REQUIRED",IF(AH23&lt;&gt;"ACTIVE","MDT_APPROVAL_REQUIRED","READY_FOR_USE")))</f>
        <v>READY_FOR_USE</v>
      </c>
      <c r="AN23" s="2" t="inlineStr">
        <is>
          <t>per_100g</t>
        </is>
      </c>
      <c r="AO23" s="2" t="inlineStr">
        <is>
          <t>ACTIVE_FOR_EXACT</t>
        </is>
      </c>
      <c r="AP23" s="2" t="inlineStr">
        <is>
          <t>官方产品标签来源已确认；按每100g标签值与执行克重重算。</t>
        </is>
      </c>
    </row>
    <row r="24">
      <c r="A24" s="2" t="str">
        <v>ING023</v>
      </c>
      <c r="B24" s="2" t="str">
        <v>无糖豆浆</v>
      </c>
      <c r="C24" s="2" t="str">
        <v>豆浆标准参考；“无糖”需实际产品/配方确认</v>
      </c>
      <c r="D24" s="2" t="str">
        <v>豆类饮品</v>
      </c>
      <c r="E24" s="2" t="str">
        <v>豆浆</v>
      </c>
      <c r="F24" s="2" t="str">
        <v>S003</v>
      </c>
      <c r="G24" s="12" t="str">
        <v>PRODUCT_LABEL_REQUIRED</v>
      </c>
      <c r="H24" s="12" t="n">
        <v>65</v>
      </c>
      <c r="I24" s="12"/>
      <c r="J24" s="12" t="n">
        <f>IF(H24&lt;&gt;"",ROUND(H24/4.184,1),I24)</f>
        <v>15.5</v>
      </c>
      <c r="K24" s="12" t="n">
        <v>1.8</v>
      </c>
      <c r="L24" s="12" t="n">
        <v>1.1</v>
      </c>
      <c r="M24" s="12" t="n">
        <v>0.7</v>
      </c>
      <c r="N24" s="12" t="str">
        <v>https://nlc.chinanutri.cn/fq/foodinfo/338.html</v>
      </c>
      <c r="O24" s="14" t="str">
        <v>package_volume（包装/量具容量）</v>
      </c>
      <c r="P24" s="14" t="str">
        <v>ml</v>
      </c>
      <c r="Q24" s="14" t="n">
        <v>150</v>
      </c>
      <c r="R24" s="14" t="n">
        <v>300</v>
      </c>
      <c r="S24" s="14" t="n">
        <v>50</v>
      </c>
      <c r="T24" s="14" t="str">
        <v>包装/量具容量；无糖状态及营养以实际产品/配方</v>
      </c>
      <c r="U24" s="14" t="str">
        <v>约1杯；以实际ml为准</v>
      </c>
      <c r="V24" s="16" t="str">
        <v>可用于结构候选；EXACT模式前必须绑定实际产品营养标签</v>
      </c>
      <c r="W24" s="16" t="str">
        <v>soy</v>
      </c>
      <c r="X24" s="16" t="str">
        <v>胃肠胀气/不耐受时调整或替换</v>
      </c>
      <c r="Y24" s="16" t="str">
        <v>product_sodium/sugar_label_review</v>
      </c>
      <c r="Z24" s="16" t="str">
        <v>soft/easy</v>
      </c>
      <c r="AA24" s="16" t="str">
        <v>推荐</v>
      </c>
      <c r="AB24" s="16" t="str">
        <v>推荐</v>
      </c>
      <c r="AC24" s="16" t="str">
        <v>可作为小体积加餐/蛋白来源；包装标签、乳糖/大豆耐受必须先确认。</v>
      </c>
      <c r="AD24" s="16" t="str">
        <v>AI可提出候选克重；必须在min/max/step内执行化。任何取整、替换、配方改变后由认可营养计算源重算；患者端显示g/ml/个，不能只显示“份”。</v>
      </c>
      <c r="AE24" s="16" t="str">
        <v>ZXY项目工程候选：参考T/CNSS交换份、中国居民膳食指南的食物组范围、当前49组件base用量和家庭可执行性；不是指南直接规定的单项处方边界。</v>
      </c>
      <c r="AF24" s="16" t="str">
        <v>项目候选/标签/身份确认+项目执行规则</v>
      </c>
      <c r="AG24" s="16" t="str">
        <v>高</v>
      </c>
      <c r="AH24" s="18" t="str">
        <v>PENDING_MDT</v>
      </c>
      <c r="AI24" s="18" t="str">
        <v>规则确认，来源待补</v>
      </c>
      <c r="AJ24" s="18" t="str">
        <v>MDT同意重量口径及AI候选min/max/step；需补实际产品标签、精确食物条目或身份/品种确认后，方可用于EXACT计算并转ACTIVE。</v>
      </c>
      <c r="AK24" s="18" t="str"/>
      <c r="AL24" s="18"/>
      <c r="AM24" s="2" t="str">
        <f>IF(OR(A24="",B24="",G24="",O24="",P24="",Q24="",R24="",S24="",COUNT(J24:M24)&lt;4),"MISSING_FIELDS",IF(OR(G24="PRODUCT_LABEL_REQUIRED",G24="PROJECT_REFERENCE_PENDING_MDT",G24="DERIVED_PROJECT_CANDIDATE_PENDING_MDT",G24="SPECIES_MATCH_REQUIRED",G24="IDENTITY_REVIEW_REQUIRED"),"SOURCE_REVIEW_REQUIRED",IF(AH24&lt;&gt;"ACTIVE","MDT_APPROVAL_REQUIRED","READY_FOR_USE")))</f>
        <v>SOURCE_REVIEW_REQUIRED</v>
      </c>
      <c r="AN24" s="2" t="str">
        <v>per_100ml</v>
      </c>
      <c r="AO24" s="2" t="str">
        <v>RULE_APPROVED_SOURCE_PENDING</v>
      </c>
      <c r="AP24" s="2" t="str">
        <v>MDT同意重量口径及AI候选min/max/step；需补实际产品标签、精确食物条目或身份/品种确认后，方可用于EXACT计算并转ACTIVE。</v>
      </c>
    </row>
    <row r="25">
      <c r="A25" s="2" t="str">
        <v>ING024</v>
      </c>
      <c r="B25" s="2" t="str">
        <v>冬瓜</v>
      </c>
      <c r="C25" s="2" t="str">
        <v>冬瓜</v>
      </c>
      <c r="D25" s="2" t="str">
        <v>蔬菜/菌藻</v>
      </c>
      <c r="E25" s="2" t="str">
        <v>蔬菜</v>
      </c>
      <c r="F25" s="2" t="str">
        <v>P013,V009</v>
      </c>
      <c r="G25" s="12" t="str">
        <v>CDC_EXACT</v>
      </c>
      <c r="H25" s="12" t="n">
        <v>52</v>
      </c>
      <c r="I25" s="12"/>
      <c r="J25" s="12" t="n">
        <f>IF(H25&lt;&gt;"",ROUND(H25/4.184,1),I25)</f>
        <v>12.4</v>
      </c>
      <c r="K25" s="12" t="n">
        <v>0.4</v>
      </c>
      <c r="L25" s="12" t="n">
        <v>2.6</v>
      </c>
      <c r="M25" s="12" t="n">
        <v>0.2</v>
      </c>
      <c r="N25" s="12" t="str">
        <v>https://nlc.chinanutri.cn/fq/foodinfo/419.html</v>
      </c>
      <c r="O25" s="14" t="str">
        <v>raw_edible_weight（烹调前可食部）</v>
      </c>
      <c r="P25" s="14" t="str">
        <v>g</v>
      </c>
      <c r="Q25" s="14" t="n">
        <v>30</v>
      </c>
      <c r="R25" s="14" t="n">
        <v>250</v>
      </c>
      <c r="S25" s="14" t="n">
        <v>10</v>
      </c>
      <c r="T25" s="14" t="str">
        <v>烹调前可食部；D/E早饱时优先较小熟软份量</v>
      </c>
      <c r="U25" s="14" t="str">
        <v>家庭量可辅助说明；数据库与处方以g/ml/个为真值</v>
      </c>
      <c r="V25" s="16" t="str">
        <v>MDT确认后可作为AI_GENERATED_DISH基础原料</v>
      </c>
      <c r="W25" s="16" t="str"/>
      <c r="X25" s="16" t="str"/>
      <c r="Y25" s="16" t="str"/>
      <c r="Z25" s="16" t="str">
        <v>normal; cook-soft-if-needed</v>
      </c>
      <c r="AA25" s="16" t="str">
        <v>可用</v>
      </c>
      <c r="AB25" s="16" t="str">
        <v>条件可用</v>
      </c>
      <c r="AC25" s="16" t="str">
        <v>E/早饱时小份、熟软、低体积，不能以大体积蔬菜挤占主食和蛋白。</v>
      </c>
      <c r="AD25" s="16" t="str">
        <v>AI可提出候选克重；必须在min/max/step内执行化。任何取整、替换、配方改变后由认可营养计算源重算；患者端显示g/ml/个，不能只显示“份”。</v>
      </c>
      <c r="AE25" s="16" t="str">
        <v>ZXY项目工程候选：参考T/CNSS交换份、中国居民膳食指南的食物组范围、当前49组件base用量和家庭可执行性；不是指南直接规定的单项处方边界。</v>
      </c>
      <c r="AF25" s="16" t="str">
        <v>CDC直接条目+项目执行规则</v>
      </c>
      <c r="AG25" s="16" t="str">
        <v>常规</v>
      </c>
      <c r="AH25" s="18" t="str">
        <v>ACTIVE</v>
      </c>
      <c r="AI25" s="18" t="str">
        <v>确认</v>
      </c>
      <c r="AJ25" s="18" t="str">
        <v>MDT按项目统一原则确认，可用于STANDARD_COMPONENT与AI_GENERATED_DISH的EXACT营养计算。</v>
      </c>
      <c r="AK25" s="18" t="str"/>
      <c r="AL25" s="18"/>
      <c r="AM25" s="2" t="str">
        <f>IF(OR(A25="",B25="",G25="",O25="",P25="",Q25="",R25="",S25="",COUNT(J25:M25)&lt;4),"MISSING_FIELDS",IF(OR(G25="PRODUCT_LABEL_REQUIRED",G25="PROJECT_REFERENCE_PENDING_MDT",G25="DERIVED_PROJECT_CANDIDATE_PENDING_MDT",G25="SPECIES_MATCH_REQUIRED",G25="IDENTITY_REVIEW_REQUIRED"),"SOURCE_REVIEW_REQUIRED",IF(AH25&lt;&gt;"ACTIVE","MDT_APPROVAL_REQUIRED","READY_FOR_USE")))</f>
        <v>READY_FOR_USE</v>
      </c>
      <c r="AN25" s="2" t="str">
        <v>per_100g</v>
      </c>
      <c r="AO25" s="2" t="str">
        <v>ACTIVE_FOR_EXACT</v>
      </c>
      <c r="AP25" s="2" t="str">
        <v>MDT按项目统一原则确认，可用于STANDARD_COMPONENT与AI_GENERATED_DISH的EXACT营养计算。</v>
      </c>
    </row>
    <row r="26">
      <c r="A26" s="2" t="str">
        <v>ING025</v>
      </c>
      <c r="B26" s="2" t="str">
        <v>圆白菜</v>
      </c>
      <c r="C26" s="2" t="str">
        <v>甘蓝[圆白菜，卷心菜]</v>
      </c>
      <c r="D26" s="2" t="str">
        <v>蔬菜/菌藻</v>
      </c>
      <c r="E26" s="2" t="str">
        <v>蔬菜</v>
      </c>
      <c r="F26" s="2" t="str">
        <v>V004</v>
      </c>
      <c r="G26" s="12" t="str">
        <v>CDC_EXACT</v>
      </c>
      <c r="H26" s="12" t="n">
        <v>102</v>
      </c>
      <c r="I26" s="12"/>
      <c r="J26" s="12" t="n">
        <f>IF(H26&lt;&gt;"",ROUND(H26/4.184,1),I26)</f>
        <v>24.4</v>
      </c>
      <c r="K26" s="12" t="n">
        <v>1.5</v>
      </c>
      <c r="L26" s="12" t="n">
        <v>4.6</v>
      </c>
      <c r="M26" s="12" t="n">
        <v>0.2</v>
      </c>
      <c r="N26" s="12" t="str">
        <v>https://nlc.chinanutri.cn/fq/foodinfo/463.html</v>
      </c>
      <c r="O26" s="14" t="str">
        <v>raw_edible_weight（烹调前可食部）</v>
      </c>
      <c r="P26" s="14" t="str">
        <v>g</v>
      </c>
      <c r="Q26" s="14" t="n">
        <v>30</v>
      </c>
      <c r="R26" s="14" t="n">
        <v>250</v>
      </c>
      <c r="S26" s="14" t="n">
        <v>10</v>
      </c>
      <c r="T26" s="14" t="str">
        <v>烹调前可食部；D/E早饱时优先较小熟软份量</v>
      </c>
      <c r="U26" s="14" t="str">
        <v>家庭量可辅助说明；数据库与处方以g/ml/个为真值</v>
      </c>
      <c r="V26" s="16" t="str">
        <v>MDT确认后可作为AI_GENERATED_DISH基础原料</v>
      </c>
      <c r="W26" s="16" t="str"/>
      <c r="X26" s="16" t="str"/>
      <c r="Y26" s="16" t="str"/>
      <c r="Z26" s="16" t="str">
        <v>normal; cook-soft-if-needed</v>
      </c>
      <c r="AA26" s="16" t="str">
        <v>可用</v>
      </c>
      <c r="AB26" s="16" t="str">
        <v>条件可用</v>
      </c>
      <c r="AC26" s="16" t="str">
        <v>E/早饱时小份、熟软、低体积，不能以大体积蔬菜挤占主食和蛋白。</v>
      </c>
      <c r="AD26" s="16" t="str">
        <v>AI可提出候选克重；必须在min/max/step内执行化。任何取整、替换、配方改变后由认可营养计算源重算；患者端显示g/ml/个，不能只显示“份”。</v>
      </c>
      <c r="AE26" s="16" t="str">
        <v>ZXY项目工程候选：参考T/CNSS交换份、中国居民膳食指南的食物组范围、当前49组件base用量和家庭可执行性；不是指南直接规定的单项处方边界。</v>
      </c>
      <c r="AF26" s="16" t="str">
        <v>CDC直接条目+项目执行规则</v>
      </c>
      <c r="AG26" s="16" t="str">
        <v>常规</v>
      </c>
      <c r="AH26" s="18" t="str">
        <v>ACTIVE</v>
      </c>
      <c r="AI26" s="18" t="str">
        <v>确认</v>
      </c>
      <c r="AJ26" s="18" t="str">
        <v>MDT按项目统一原则确认，可用于STANDARD_COMPONENT与AI_GENERATED_DISH的EXACT营养计算。</v>
      </c>
      <c r="AK26" s="18" t="str"/>
      <c r="AL26" s="18"/>
      <c r="AM26" s="2" t="str">
        <f>IF(OR(A26="",B26="",G26="",O26="",P26="",Q26="",R26="",S26="",COUNT(J26:M26)&lt;4),"MISSING_FIELDS",IF(OR(G26="PRODUCT_LABEL_REQUIRED",G26="PROJECT_REFERENCE_PENDING_MDT",G26="DERIVED_PROJECT_CANDIDATE_PENDING_MDT",G26="SPECIES_MATCH_REQUIRED",G26="IDENTITY_REVIEW_REQUIRED"),"SOURCE_REVIEW_REQUIRED",IF(AH26&lt;&gt;"ACTIVE","MDT_APPROVAL_REQUIRED","READY_FOR_USE")))</f>
        <v>READY_FOR_USE</v>
      </c>
      <c r="AN26" s="2" t="str">
        <v>per_100g</v>
      </c>
      <c r="AO26" s="2" t="str">
        <v>ACTIVE_FOR_EXACT</v>
      </c>
      <c r="AP26" s="2" t="str">
        <v>MDT按项目统一原则确认，可用于STANDARD_COMPONENT与AI_GENERATED_DISH的EXACT营养计算。</v>
      </c>
    </row>
    <row r="27">
      <c r="A27" s="2" t="str">
        <v>ING026</v>
      </c>
      <c r="B27" s="2" t="str">
        <v>彩椒</v>
      </c>
      <c r="C27" s="2" t="str">
        <v>彩椒</v>
      </c>
      <c r="D27" s="2" t="str">
        <v>蔬菜/菌藻</v>
      </c>
      <c r="E27" s="2" t="str">
        <v>蔬菜</v>
      </c>
      <c r="F27" s="2" t="str">
        <v>P011,V007</v>
      </c>
      <c r="G27" s="12" t="str">
        <v>CDC_EXACT</v>
      </c>
      <c r="H27" s="12" t="n">
        <v>109</v>
      </c>
      <c r="I27" s="12"/>
      <c r="J27" s="12" t="n">
        <f>IF(H27&lt;&gt;"",ROUND(H27/4.184,1),I27)</f>
        <v>26.1</v>
      </c>
      <c r="K27" s="12" t="n">
        <v>1.3</v>
      </c>
      <c r="L27" s="12" t="n">
        <v>6.4</v>
      </c>
      <c r="M27" s="12" t="n">
        <v>0.2</v>
      </c>
      <c r="N27" s="12" t="str">
        <v>https://nlc.chinanutri.cn/fq/foodinfo/415.html</v>
      </c>
      <c r="O27" s="14" t="str">
        <v>raw_edible_weight（烹调前可食部）</v>
      </c>
      <c r="P27" s="14" t="str">
        <v>g</v>
      </c>
      <c r="Q27" s="14" t="n">
        <v>30</v>
      </c>
      <c r="R27" s="14" t="n">
        <v>250</v>
      </c>
      <c r="S27" s="14" t="n">
        <v>10</v>
      </c>
      <c r="T27" s="14" t="str">
        <v>烹调前可食部；D/E早饱时优先较小熟软份量</v>
      </c>
      <c r="U27" s="14" t="str">
        <v>家庭量可辅助说明；数据库与处方以g/ml/个为真值</v>
      </c>
      <c r="V27" s="16" t="str">
        <v>MDT确认后可作为AI_GENERATED_DISH基础原料</v>
      </c>
      <c r="W27" s="16" t="str"/>
      <c r="X27" s="16" t="str"/>
      <c r="Y27" s="16" t="str"/>
      <c r="Z27" s="16" t="str">
        <v>normal; cook-soft-if-needed</v>
      </c>
      <c r="AA27" s="16" t="str">
        <v>可用</v>
      </c>
      <c r="AB27" s="16" t="str">
        <v>条件可用</v>
      </c>
      <c r="AC27" s="16" t="str">
        <v>E/早饱时小份、熟软、低体积，不能以大体积蔬菜挤占主食和蛋白。</v>
      </c>
      <c r="AD27" s="16" t="str">
        <v>AI可提出候选克重；必须在min/max/step内执行化。任何取整、替换、配方改变后由认可营养计算源重算；患者端显示g/ml/个，不能只显示“份”。</v>
      </c>
      <c r="AE27" s="16" t="str">
        <v>ZXY项目工程候选：参考T/CNSS交换份、中国居民膳食指南的食物组范围、当前49组件base用量和家庭可执行性；不是指南直接规定的单项处方边界。</v>
      </c>
      <c r="AF27" s="16" t="str">
        <v>CDC直接条目+项目执行规则</v>
      </c>
      <c r="AG27" s="16" t="str">
        <v>常规</v>
      </c>
      <c r="AH27" s="18" t="str">
        <v>ACTIVE</v>
      </c>
      <c r="AI27" s="18" t="str">
        <v>确认</v>
      </c>
      <c r="AJ27" s="18" t="str">
        <v>MDT按项目统一原则确认，可用于STANDARD_COMPONENT与AI_GENERATED_DISH的EXACT营养计算。</v>
      </c>
      <c r="AK27" s="18" t="str"/>
      <c r="AL27" s="18"/>
      <c r="AM27" s="2" t="str">
        <f>IF(OR(A27="",B27="",G27="",O27="",P27="",Q27="",R27="",S27="",COUNT(J27:M27)&lt;4),"MISSING_FIELDS",IF(OR(G27="PRODUCT_LABEL_REQUIRED",G27="PROJECT_REFERENCE_PENDING_MDT",G27="DERIVED_PROJECT_CANDIDATE_PENDING_MDT",G27="SPECIES_MATCH_REQUIRED",G27="IDENTITY_REVIEW_REQUIRED"),"SOURCE_REVIEW_REQUIRED",IF(AH27&lt;&gt;"ACTIVE","MDT_APPROVAL_REQUIRED","READY_FOR_USE")))</f>
        <v>READY_FOR_USE</v>
      </c>
      <c r="AN27" s="2" t="str">
        <v>per_100g</v>
      </c>
      <c r="AO27" s="2" t="str">
        <v>ACTIVE_FOR_EXACT</v>
      </c>
      <c r="AP27" s="2" t="str">
        <v>MDT按项目统一原则确认，可用于STANDARD_COMPONENT与AI_GENERATED_DISH的EXACT营养计算。</v>
      </c>
    </row>
    <row r="28">
      <c r="A28" s="2" t="str">
        <v>ING027</v>
      </c>
      <c r="B28" s="2" t="str">
        <v>木耳鲜</v>
      </c>
      <c r="C28" s="2" t="str">
        <v>木耳(水发)[黑木耳，云耳]；当前名称“木耳鲜”建议改为“水发木耳”</v>
      </c>
      <c r="D28" s="2" t="str">
        <v>蔬菜/菌藻</v>
      </c>
      <c r="E28" s="2" t="str">
        <v>菌藻</v>
      </c>
      <c r="F28" s="2" t="str">
        <v>P006,V005</v>
      </c>
      <c r="G28" s="12" t="str">
        <v>IDENTITY_REVIEW_REQUIRED</v>
      </c>
      <c r="H28" s="12" t="n">
        <v>112</v>
      </c>
      <c r="I28" s="12"/>
      <c r="J28" s="12" t="n">
        <f>IF(H28&lt;&gt;"",ROUND(H28/4.184,1),I28)</f>
        <v>26.8</v>
      </c>
      <c r="K28" s="12" t="n">
        <v>1.5</v>
      </c>
      <c r="L28" s="12" t="n">
        <v>6</v>
      </c>
      <c r="M28" s="12" t="n">
        <v>0.2</v>
      </c>
      <c r="N28" s="12" t="str">
        <v>https://nlc.chinanutri.cn/fq/foodinfo/580.html</v>
      </c>
      <c r="O28" s="14" t="str">
        <v>hydrated_edible_weight</v>
      </c>
      <c r="P28" s="14" t="str">
        <v>g</v>
      </c>
      <c r="Q28" s="14" t="n">
        <v>20</v>
      </c>
      <c r="R28" s="14" t="n">
        <v>100</v>
      </c>
      <c r="S28" s="14" t="n">
        <v>10</v>
      </c>
      <c r="T28" s="14" t="str">
        <v>候选按水发木耳可食部；名称/状态需MDT确认</v>
      </c>
      <c r="U28" s="14" t="str">
        <v>家庭量可辅助说明；数据库与处方以g/ml/个为真值</v>
      </c>
      <c r="V28" s="16" t="str">
        <v>仅结构候选；身份/品种未确认前不得用于正式精确营养闭合</v>
      </c>
      <c r="W28" s="16" t="str"/>
      <c r="X28" s="16" t="str">
        <v>当前组件名称与疾控水发木耳条目可能不一致，需确认实际原料状态</v>
      </c>
      <c r="Y28" s="16" t="str"/>
      <c r="Z28" s="16" t="str">
        <v>normal; cook-soft-if-needed</v>
      </c>
      <c r="AA28" s="16" t="str">
        <v>可用</v>
      </c>
      <c r="AB28" s="16" t="str">
        <v>条件可用</v>
      </c>
      <c r="AC28" s="16" t="str">
        <v>E/早饱时小份、熟软、低体积，不能以大体积蔬菜挤占主食和蛋白。</v>
      </c>
      <c r="AD28" s="16" t="str">
        <v>AI可提出候选克重；必须在min/max/step内执行化。任何取整、替换、配方改变后由认可营养计算源重算；患者端显示g/ml/个，不能只显示“份”。</v>
      </c>
      <c r="AE28" s="16" t="str">
        <v>ZXY项目工程候选：参考T/CNSS交换份、中国居民膳食指南的食物组范围、当前49组件base用量和家庭可执行性；不是指南直接规定的单项处方边界。</v>
      </c>
      <c r="AF28" s="16" t="str">
        <v>项目候选/标签/身份确认+项目执行规则</v>
      </c>
      <c r="AG28" s="16" t="str">
        <v>高</v>
      </c>
      <c r="AH28" s="18" t="str">
        <v>PENDING_MDT</v>
      </c>
      <c r="AI28" s="18" t="str">
        <v>规则确认，来源待补</v>
      </c>
      <c r="AJ28" s="18" t="str">
        <v>MDT同意重量口径及AI候选min/max/step；需补实际产品标签、精确食物条目或身份/品种确认后，方可用于EXACT计算并转ACTIVE。</v>
      </c>
      <c r="AK28" s="18" t="str"/>
      <c r="AL28" s="18"/>
      <c r="AM28" s="2" t="str">
        <f>IF(OR(A28="",B28="",G28="",O28="",P28="",Q28="",R28="",S28="",COUNT(J28:M28)&lt;4),"MISSING_FIELDS",IF(OR(G28="PRODUCT_LABEL_REQUIRED",G28="PROJECT_REFERENCE_PENDING_MDT",G28="DERIVED_PROJECT_CANDIDATE_PENDING_MDT",G28="SPECIES_MATCH_REQUIRED",G28="IDENTITY_REVIEW_REQUIRED"),"SOURCE_REVIEW_REQUIRED",IF(AH28&lt;&gt;"ACTIVE","MDT_APPROVAL_REQUIRED","READY_FOR_USE")))</f>
        <v>SOURCE_REVIEW_REQUIRED</v>
      </c>
      <c r="AN28" s="2" t="str">
        <v>per_100g</v>
      </c>
      <c r="AO28" s="2" t="str">
        <v>RULE_APPROVED_SOURCE_PENDING</v>
      </c>
      <c r="AP28" s="2" t="str">
        <v>MDT同意重量口径及AI候选min/max/step；需补实际产品标签、精确食物条目或身份/品种确认后，方可用于EXACT计算并转ACTIVE。</v>
      </c>
    </row>
    <row r="29">
      <c r="A29" s="2" t="str">
        <v>ING028</v>
      </c>
      <c r="B29" s="2" t="str">
        <v>杏鲍菇</v>
      </c>
      <c r="C29" s="2" t="str">
        <v>杏鲍菇</v>
      </c>
      <c r="D29" s="2" t="str">
        <v>蔬菜/菌藻</v>
      </c>
      <c r="E29" s="2" t="str">
        <v>菌藻</v>
      </c>
      <c r="F29" s="2" t="str">
        <v>V007</v>
      </c>
      <c r="G29" s="12" t="str">
        <v>CDC_EXACT</v>
      </c>
      <c r="H29" s="12" t="n">
        <v>148</v>
      </c>
      <c r="I29" s="12"/>
      <c r="J29" s="12" t="n">
        <f>IF(H29&lt;&gt;"",ROUND(H29/4.184,1),I29)</f>
        <v>35.4</v>
      </c>
      <c r="K29" s="12" t="n">
        <v>1.3</v>
      </c>
      <c r="L29" s="12" t="n">
        <v>8.3</v>
      </c>
      <c r="M29" s="12" t="n">
        <v>0.1</v>
      </c>
      <c r="N29" s="12" t="str">
        <v>https://nlc.chinanutri.cn/fq/foodinfo/602.html</v>
      </c>
      <c r="O29" s="14" t="str">
        <v>raw_edible_weight（烹调前可食部）</v>
      </c>
      <c r="P29" s="14" t="str">
        <v>g</v>
      </c>
      <c r="Q29" s="14" t="n">
        <v>20</v>
      </c>
      <c r="R29" s="14" t="n">
        <v>150</v>
      </c>
      <c r="S29" s="14" t="n">
        <v>10</v>
      </c>
      <c r="T29" s="14" t="str">
        <v>烹调前可食部</v>
      </c>
      <c r="U29" s="14" t="str">
        <v>家庭量可辅助说明；数据库与处方以g/ml/个为真值</v>
      </c>
      <c r="V29" s="16" t="str">
        <v>MDT确认后可作为AI_GENERATED_DISH基础原料</v>
      </c>
      <c r="W29" s="16" t="str"/>
      <c r="X29" s="16" t="str"/>
      <c r="Y29" s="16" t="str"/>
      <c r="Z29" s="16" t="str">
        <v>normal; cook-soft-if-needed</v>
      </c>
      <c r="AA29" s="16" t="str">
        <v>可用</v>
      </c>
      <c r="AB29" s="16" t="str">
        <v>条件可用</v>
      </c>
      <c r="AC29" s="16" t="str">
        <v>E/早饱时小份、熟软、低体积，不能以大体积蔬菜挤占主食和蛋白。</v>
      </c>
      <c r="AD29" s="16" t="str">
        <v>AI可提出候选克重；必须在min/max/step内执行化。任何取整、替换、配方改变后由认可营养计算源重算；患者端显示g/ml/个，不能只显示“份”。</v>
      </c>
      <c r="AE29" s="16" t="str">
        <v>ZXY项目工程候选：参考T/CNSS交换份、中国居民膳食指南的食物组范围、当前49组件base用量和家庭可执行性；不是指南直接规定的单项处方边界。</v>
      </c>
      <c r="AF29" s="16" t="str">
        <v>CDC直接条目+项目执行规则</v>
      </c>
      <c r="AG29" s="16" t="str">
        <v>常规</v>
      </c>
      <c r="AH29" s="18" t="str">
        <v>ACTIVE</v>
      </c>
      <c r="AI29" s="18" t="str">
        <v>确认</v>
      </c>
      <c r="AJ29" s="18" t="str">
        <v>MDT按项目统一原则确认，可用于STANDARD_COMPONENT与AI_GENERATED_DISH的EXACT营养计算。</v>
      </c>
      <c r="AK29" s="18" t="str"/>
      <c r="AL29" s="18"/>
      <c r="AM29" s="2" t="str">
        <f>IF(OR(A29="",B29="",G29="",O29="",P29="",Q29="",R29="",S29="",COUNT(J29:M29)&lt;4),"MISSING_FIELDS",IF(OR(G29="PRODUCT_LABEL_REQUIRED",G29="PROJECT_REFERENCE_PENDING_MDT",G29="DERIVED_PROJECT_CANDIDATE_PENDING_MDT",G29="SPECIES_MATCH_REQUIRED",G29="IDENTITY_REVIEW_REQUIRED"),"SOURCE_REVIEW_REQUIRED",IF(AH29&lt;&gt;"ACTIVE","MDT_APPROVAL_REQUIRED","READY_FOR_USE")))</f>
        <v>READY_FOR_USE</v>
      </c>
      <c r="AN29" s="2" t="str">
        <v>per_100g</v>
      </c>
      <c r="AO29" s="2" t="str">
        <v>ACTIVE_FOR_EXACT</v>
      </c>
      <c r="AP29" s="2" t="str">
        <v>MDT按项目统一原则确认，可用于STANDARD_COMPONENT与AI_GENERATED_DISH的EXACT营养计算。</v>
      </c>
    </row>
    <row r="30">
      <c r="A30" s="2" t="str">
        <v>ING029</v>
      </c>
      <c r="B30" s="2" t="str">
        <v>油麦菜</v>
      </c>
      <c r="C30" s="2" t="str">
        <v>生菜(牛俐)[油麦菜]</v>
      </c>
      <c r="D30" s="2" t="str">
        <v>蔬菜/菌藻</v>
      </c>
      <c r="E30" s="2" t="str">
        <v>蔬菜</v>
      </c>
      <c r="F30" s="2" t="str">
        <v>V003</v>
      </c>
      <c r="G30" s="12" t="str">
        <v>CDC_EXACT</v>
      </c>
      <c r="H30" s="12" t="n">
        <v>69</v>
      </c>
      <c r="I30" s="12"/>
      <c r="J30" s="12" t="n">
        <f>IF(H30&lt;&gt;"",ROUND(H30/4.184,1),I30)</f>
        <v>16.5</v>
      </c>
      <c r="K30" s="12" t="n">
        <v>1.4</v>
      </c>
      <c r="L30" s="12" t="n">
        <v>2.1</v>
      </c>
      <c r="M30" s="12" t="n">
        <v>0.4</v>
      </c>
      <c r="N30" s="12" t="str">
        <v>https://nlc.chinanutri.cn/fq/foodinfo/482.html</v>
      </c>
      <c r="O30" s="14" t="str">
        <v>raw_edible_weight（烹调前可食部）</v>
      </c>
      <c r="P30" s="14" t="str">
        <v>g</v>
      </c>
      <c r="Q30" s="14" t="n">
        <v>30</v>
      </c>
      <c r="R30" s="14" t="n">
        <v>250</v>
      </c>
      <c r="S30" s="14" t="n">
        <v>10</v>
      </c>
      <c r="T30" s="14" t="str">
        <v>烹调前可食部；D/E早饱时优先较小熟软份量</v>
      </c>
      <c r="U30" s="14" t="str">
        <v>家庭量可辅助说明；数据库与处方以g/ml/个为真值</v>
      </c>
      <c r="V30" s="16" t="str">
        <v>MDT确认后可作为AI_GENERATED_DISH基础原料</v>
      </c>
      <c r="W30" s="16" t="str"/>
      <c r="X30" s="16" t="str"/>
      <c r="Y30" s="16" t="str"/>
      <c r="Z30" s="16" t="str">
        <v>normal; cook-soft-if-needed</v>
      </c>
      <c r="AA30" s="16" t="str">
        <v>可用</v>
      </c>
      <c r="AB30" s="16" t="str">
        <v>条件可用</v>
      </c>
      <c r="AC30" s="16" t="str">
        <v>E/早饱时小份、熟软、低体积，不能以大体积蔬菜挤占主食和蛋白。</v>
      </c>
      <c r="AD30" s="16" t="str">
        <v>AI可提出候选克重；必须在min/max/step内执行化。任何取整、替换、配方改变后由认可营养计算源重算；患者端显示g/ml/个，不能只显示“份”。</v>
      </c>
      <c r="AE30" s="16" t="str">
        <v>ZXY项目工程候选：参考T/CNSS交换份、中国居民膳食指南的食物组范围、当前49组件base用量和家庭可执行性；不是指南直接规定的单项处方边界。</v>
      </c>
      <c r="AF30" s="16" t="str">
        <v>CDC直接条目+项目执行规则</v>
      </c>
      <c r="AG30" s="16" t="str">
        <v>常规</v>
      </c>
      <c r="AH30" s="18" t="str">
        <v>ACTIVE</v>
      </c>
      <c r="AI30" s="18" t="str">
        <v>确认</v>
      </c>
      <c r="AJ30" s="18" t="str">
        <v>MDT按项目统一原则确认，可用于STANDARD_COMPONENT与AI_GENERATED_DISH的EXACT营养计算。</v>
      </c>
      <c r="AK30" s="18" t="str"/>
      <c r="AL30" s="18"/>
      <c r="AM30" s="2" t="str">
        <f>IF(OR(A30="",B30="",G30="",O30="",P30="",Q30="",R30="",S30="",COUNT(J30:M30)&lt;4),"MISSING_FIELDS",IF(OR(G30="PRODUCT_LABEL_REQUIRED",G30="PROJECT_REFERENCE_PENDING_MDT",G30="DERIVED_PROJECT_CANDIDATE_PENDING_MDT",G30="SPECIES_MATCH_REQUIRED",G30="IDENTITY_REVIEW_REQUIRED"),"SOURCE_REVIEW_REQUIRED",IF(AH30&lt;&gt;"ACTIVE","MDT_APPROVAL_REQUIRED","READY_FOR_USE")))</f>
        <v>READY_FOR_USE</v>
      </c>
      <c r="AN30" s="2" t="str">
        <v>per_100g</v>
      </c>
      <c r="AO30" s="2" t="str">
        <v>ACTIVE_FOR_EXACT</v>
      </c>
      <c r="AP30" s="2" t="str">
        <v>MDT按项目统一原则确认，可用于STANDARD_COMPONENT与AI_GENERATED_DISH的EXACT营养计算。</v>
      </c>
    </row>
    <row r="31">
      <c r="A31" s="2" t="str">
        <v>ING030</v>
      </c>
      <c r="B31" s="2" t="str">
        <v>生菜</v>
      </c>
      <c r="C31" s="2" t="str">
        <v>生菜(叶用莴苣)</v>
      </c>
      <c r="D31" s="2" t="str">
        <v>蔬菜/菌藻</v>
      </c>
      <c r="E31" s="2" t="str">
        <v>蔬菜</v>
      </c>
      <c r="F31" s="2" t="str">
        <v>V011</v>
      </c>
      <c r="G31" s="12" t="str">
        <v>CDC_EXACT</v>
      </c>
      <c r="H31" s="12" t="n">
        <v>61</v>
      </c>
      <c r="I31" s="12"/>
      <c r="J31" s="12" t="n">
        <f>IF(H31&lt;&gt;"",ROUND(H31/4.184,1),I31)</f>
        <v>14.6</v>
      </c>
      <c r="K31" s="12" t="n">
        <v>1.3</v>
      </c>
      <c r="L31" s="12" t="n">
        <v>2</v>
      </c>
      <c r="M31" s="12" t="n">
        <v>0.3</v>
      </c>
      <c r="N31" s="12" t="str">
        <v>https://nlc.chinanutri.cn/fq/foodinfo/483.html</v>
      </c>
      <c r="O31" s="14" t="str">
        <v>raw_edible_weight（烹调前可食部）</v>
      </c>
      <c r="P31" s="14" t="str">
        <v>g</v>
      </c>
      <c r="Q31" s="14" t="n">
        <v>30</v>
      </c>
      <c r="R31" s="14" t="n">
        <v>250</v>
      </c>
      <c r="S31" s="14" t="n">
        <v>10</v>
      </c>
      <c r="T31" s="14" t="str">
        <v>烹调前可食部；D/E早饱时优先较小熟软份量</v>
      </c>
      <c r="U31" s="14" t="str">
        <v>家庭量可辅助说明；数据库与处方以g/ml/个为真值</v>
      </c>
      <c r="V31" s="16" t="str">
        <v>MDT确认后可作为AI_GENERATED_DISH基础原料</v>
      </c>
      <c r="W31" s="16" t="str"/>
      <c r="X31" s="16" t="str">
        <v>围手术期食品卫生风险高时优先熟制替代</v>
      </c>
      <c r="Y31" s="16" t="str"/>
      <c r="Z31" s="16" t="str">
        <v>normal; cook-soft-if-needed</v>
      </c>
      <c r="AA31" s="16" t="str">
        <v>可用</v>
      </c>
      <c r="AB31" s="16" t="str">
        <v>条件可用</v>
      </c>
      <c r="AC31" s="16" t="str">
        <v>E/早饱时小份、熟软、低体积，不能以大体积蔬菜挤占主食和蛋白。</v>
      </c>
      <c r="AD31" s="16" t="str">
        <v>AI可提出候选克重；必须在min/max/step内执行化。任何取整、替换、配方改变后由认可营养计算源重算；患者端显示g/ml/个，不能只显示“份”。</v>
      </c>
      <c r="AE31" s="16" t="str">
        <v>ZXY项目工程候选：参考T/CNSS交换份、中国居民膳食指南的食物组范围、当前49组件base用量和家庭可执行性；不是指南直接规定的单项处方边界。</v>
      </c>
      <c r="AF31" s="16" t="str">
        <v>CDC直接条目+项目执行规则</v>
      </c>
      <c r="AG31" s="16" t="str">
        <v>常规</v>
      </c>
      <c r="AH31" s="18" t="str">
        <v>ACTIVE</v>
      </c>
      <c r="AI31" s="18" t="str">
        <v>确认</v>
      </c>
      <c r="AJ31" s="18" t="str">
        <v>MDT按项目统一原则确认，可用于STANDARD_COMPONENT与AI_GENERATED_DISH的EXACT营养计算。</v>
      </c>
      <c r="AK31" s="18" t="str"/>
      <c r="AL31" s="18"/>
      <c r="AM31" s="2" t="str">
        <f>IF(OR(A31="",B31="",G31="",O31="",P31="",Q31="",R31="",S31="",COUNT(J31:M31)&lt;4),"MISSING_FIELDS",IF(OR(G31="PRODUCT_LABEL_REQUIRED",G31="PROJECT_REFERENCE_PENDING_MDT",G31="DERIVED_PROJECT_CANDIDATE_PENDING_MDT",G31="SPECIES_MATCH_REQUIRED",G31="IDENTITY_REVIEW_REQUIRED"),"SOURCE_REVIEW_REQUIRED",IF(AH31&lt;&gt;"ACTIVE","MDT_APPROVAL_REQUIRED","READY_FOR_USE")))</f>
        <v>READY_FOR_USE</v>
      </c>
      <c r="AN31" s="2" t="str">
        <v>per_100g</v>
      </c>
      <c r="AO31" s="2" t="str">
        <v>ACTIVE_FOR_EXACT</v>
      </c>
      <c r="AP31" s="2" t="str">
        <v>MDT按项目统一原则确认，可用于STANDARD_COMPONENT与AI_GENERATED_DISH的EXACT营养计算。</v>
      </c>
    </row>
    <row r="32">
      <c r="A32" s="2" t="str">
        <v>ING031</v>
      </c>
      <c r="B32" s="2" t="str">
        <v>番茄</v>
      </c>
      <c r="C32" s="2" t="str">
        <v>番茄[西红柿]</v>
      </c>
      <c r="D32" s="2" t="str">
        <v>蔬菜/菌藻</v>
      </c>
      <c r="E32" s="2" t="str">
        <v>蔬菜</v>
      </c>
      <c r="F32" s="2" t="str">
        <v>P005,P009,S009,V006,V011</v>
      </c>
      <c r="G32" s="12" t="str">
        <v>CDC_EXACT</v>
      </c>
      <c r="H32" s="12" t="n">
        <v>86</v>
      </c>
      <c r="I32" s="12"/>
      <c r="J32" s="12" t="n">
        <f>IF(H32&lt;&gt;"",ROUND(H32/4.184,1),I32)</f>
        <v>20.6</v>
      </c>
      <c r="K32" s="12" t="n">
        <v>0.9</v>
      </c>
      <c r="L32" s="12" t="n">
        <v>4</v>
      </c>
      <c r="M32" s="12" t="n">
        <v>0.2</v>
      </c>
      <c r="N32" s="12" t="str">
        <v>https://nlc.chinanutri.cn/fq/foodinfo/405.html</v>
      </c>
      <c r="O32" s="14" t="str">
        <v>raw_edible_weight（烹调前可食部）</v>
      </c>
      <c r="P32" s="14" t="str">
        <v>g</v>
      </c>
      <c r="Q32" s="14" t="n">
        <v>30</v>
      </c>
      <c r="R32" s="14" t="n">
        <v>250</v>
      </c>
      <c r="S32" s="14" t="n">
        <v>10</v>
      </c>
      <c r="T32" s="14" t="str">
        <v>烹调前可食部；D/E早饱时优先较小熟软份量</v>
      </c>
      <c r="U32" s="14" t="str">
        <v>家庭量可辅助说明；数据库与处方以g/ml/个为真值</v>
      </c>
      <c r="V32" s="16" t="str">
        <v>MDT确认后可作为AI_GENERATED_DISH基础原料</v>
      </c>
      <c r="W32" s="16" t="str"/>
      <c r="X32" s="16" t="str"/>
      <c r="Y32" s="16" t="str"/>
      <c r="Z32" s="16" t="str">
        <v>normal; cook-soft-if-needed</v>
      </c>
      <c r="AA32" s="16" t="str">
        <v>可用</v>
      </c>
      <c r="AB32" s="16" t="str">
        <v>条件可用</v>
      </c>
      <c r="AC32" s="16" t="str">
        <v>E/早饱时小份、熟软、低体积，不能以大体积蔬菜挤占主食和蛋白。</v>
      </c>
      <c r="AD32" s="16" t="str">
        <v>AI可提出候选克重；必须在min/max/step内执行化。任何取整、替换、配方改变后由认可营养计算源重算；患者端显示g/ml/个，不能只显示“份”。</v>
      </c>
      <c r="AE32" s="16" t="str">
        <v>ZXY项目工程候选：参考T/CNSS交换份、中国居民膳食指南的食物组范围、当前49组件base用量和家庭可执行性；不是指南直接规定的单项处方边界。</v>
      </c>
      <c r="AF32" s="16" t="str">
        <v>CDC直接条目+项目执行规则</v>
      </c>
      <c r="AG32" s="16" t="str">
        <v>常规</v>
      </c>
      <c r="AH32" s="18" t="str">
        <v>ACTIVE</v>
      </c>
      <c r="AI32" s="18" t="str">
        <v>确认</v>
      </c>
      <c r="AJ32" s="18" t="str">
        <v>MDT按项目统一原则确认，可用于STANDARD_COMPONENT与AI_GENERATED_DISH的EXACT营养计算。</v>
      </c>
      <c r="AK32" s="18" t="str"/>
      <c r="AL32" s="18"/>
      <c r="AM32" s="2" t="str">
        <f>IF(OR(A32="",B32="",G32="",O32="",P32="",Q32="",R32="",S32="",COUNT(J32:M32)&lt;4),"MISSING_FIELDS",IF(OR(G32="PRODUCT_LABEL_REQUIRED",G32="PROJECT_REFERENCE_PENDING_MDT",G32="DERIVED_PROJECT_CANDIDATE_PENDING_MDT",G32="SPECIES_MATCH_REQUIRED",G32="IDENTITY_REVIEW_REQUIRED"),"SOURCE_REVIEW_REQUIRED",IF(AH32&lt;&gt;"ACTIVE","MDT_APPROVAL_REQUIRED","READY_FOR_USE")))</f>
        <v>READY_FOR_USE</v>
      </c>
      <c r="AN32" s="2" t="str">
        <v>per_100g</v>
      </c>
      <c r="AO32" s="2" t="str">
        <v>ACTIVE_FOR_EXACT</v>
      </c>
      <c r="AP32" s="2" t="str">
        <v>MDT按项目统一原则确认，可用于STANDARD_COMPONENT与AI_GENERATED_DISH的EXACT营养计算。</v>
      </c>
    </row>
    <row r="33">
      <c r="A33" s="2" t="str">
        <v>ING032</v>
      </c>
      <c r="B33" s="2" t="str">
        <v>胡萝卜</v>
      </c>
      <c r="C33" s="2" t="str">
        <v>胡萝卜(红)[金笋，丁香萝卜]</v>
      </c>
      <c r="D33" s="2" t="str">
        <v>蔬菜/菌藻</v>
      </c>
      <c r="E33" s="2" t="str">
        <v>蔬菜</v>
      </c>
      <c r="F33" s="2" t="str">
        <v>V008,V012</v>
      </c>
      <c r="G33" s="12" t="str">
        <v>CDC_EXACT</v>
      </c>
      <c r="H33" s="12" t="n">
        <v>164</v>
      </c>
      <c r="I33" s="12"/>
      <c r="J33" s="12" t="n">
        <f>IF(H33&lt;&gt;"",ROUND(H33/4.184,1),I33)</f>
        <v>39.2</v>
      </c>
      <c r="K33" s="12" t="n">
        <v>1</v>
      </c>
      <c r="L33" s="12" t="n">
        <v>8.8</v>
      </c>
      <c r="M33" s="12" t="n">
        <v>0.2</v>
      </c>
      <c r="N33" s="12" t="str">
        <v>https://nlc.chinanutri.cn/fq/foodinfo/380.html</v>
      </c>
      <c r="O33" s="14" t="str">
        <v>raw_edible_weight（烹调前可食部）</v>
      </c>
      <c r="P33" s="14" t="str">
        <v>g</v>
      </c>
      <c r="Q33" s="14" t="n">
        <v>30</v>
      </c>
      <c r="R33" s="14" t="n">
        <v>250</v>
      </c>
      <c r="S33" s="14" t="n">
        <v>10</v>
      </c>
      <c r="T33" s="14" t="str">
        <v>烹调前可食部；D/E早饱时优先较小熟软份量</v>
      </c>
      <c r="U33" s="14" t="str">
        <v>家庭量可辅助说明；数据库与处方以g/ml/个为真值</v>
      </c>
      <c r="V33" s="16" t="str">
        <v>MDT确认后可作为AI_GENERATED_DISH基础原料</v>
      </c>
      <c r="W33" s="16" t="str"/>
      <c r="X33" s="16" t="str"/>
      <c r="Y33" s="16" t="str"/>
      <c r="Z33" s="16" t="str">
        <v>normal; cook-soft-if-needed</v>
      </c>
      <c r="AA33" s="16" t="str">
        <v>可用</v>
      </c>
      <c r="AB33" s="16" t="str">
        <v>条件可用</v>
      </c>
      <c r="AC33" s="16" t="str">
        <v>E/早饱时小份、熟软、低体积，不能以大体积蔬菜挤占主食和蛋白。</v>
      </c>
      <c r="AD33" s="16" t="str">
        <v>AI可提出候选克重；必须在min/max/step内执行化。任何取整、替换、配方改变后由认可营养计算源重算；患者端显示g/ml/个，不能只显示“份”。</v>
      </c>
      <c r="AE33" s="16" t="str">
        <v>ZXY项目工程候选：参考T/CNSS交换份、中国居民膳食指南的食物组范围、当前49组件base用量和家庭可执行性；不是指南直接规定的单项处方边界。</v>
      </c>
      <c r="AF33" s="16" t="str">
        <v>CDC直接条目+项目执行规则</v>
      </c>
      <c r="AG33" s="16" t="str">
        <v>常规</v>
      </c>
      <c r="AH33" s="18" t="str">
        <v>ACTIVE</v>
      </c>
      <c r="AI33" s="18" t="str">
        <v>确认</v>
      </c>
      <c r="AJ33" s="18" t="str">
        <v>MDT按项目统一原则确认，可用于STANDARD_COMPONENT与AI_GENERATED_DISH的EXACT营养计算。</v>
      </c>
      <c r="AK33" s="18" t="str"/>
      <c r="AL33" s="18"/>
      <c r="AM33" s="2" t="str">
        <f>IF(OR(A33="",B33="",G33="",O33="",P33="",Q33="",R33="",S33="",COUNT(J33:M33)&lt;4),"MISSING_FIELDS",IF(OR(G33="PRODUCT_LABEL_REQUIRED",G33="PROJECT_REFERENCE_PENDING_MDT",G33="DERIVED_PROJECT_CANDIDATE_PENDING_MDT",G33="SPECIES_MATCH_REQUIRED",G33="IDENTITY_REVIEW_REQUIRED"),"SOURCE_REVIEW_REQUIRED",IF(AH33&lt;&gt;"ACTIVE","MDT_APPROVAL_REQUIRED","READY_FOR_USE")))</f>
        <v>READY_FOR_USE</v>
      </c>
      <c r="AN33" s="2" t="str">
        <v>per_100g</v>
      </c>
      <c r="AO33" s="2" t="str">
        <v>ACTIVE_FOR_EXACT</v>
      </c>
      <c r="AP33" s="2" t="str">
        <v>MDT按项目统一原则确认，可用于STANDARD_COMPONENT与AI_GENERATED_DISH的EXACT营养计算。</v>
      </c>
    </row>
    <row r="34">
      <c r="A34" s="2" t="str">
        <v>ING033</v>
      </c>
      <c r="B34" s="2" t="str">
        <v>芹菜</v>
      </c>
      <c r="C34" s="2" t="str">
        <v>芹菜(白茎)[旱芹，药芹]</v>
      </c>
      <c r="D34" s="2" t="str">
        <v>蔬菜/菌藻</v>
      </c>
      <c r="E34" s="2" t="str">
        <v>蔬菜</v>
      </c>
      <c r="F34" s="2" t="str">
        <v>P006,V005</v>
      </c>
      <c r="G34" s="12" t="str">
        <v>CDC_EXACT</v>
      </c>
      <c r="H34" s="12" t="n">
        <v>71</v>
      </c>
      <c r="I34" s="12"/>
      <c r="J34" s="12" t="n">
        <f>IF(H34&lt;&gt;"",ROUND(H34/4.184,1),I34)</f>
        <v>17</v>
      </c>
      <c r="K34" s="12" t="n">
        <v>0.8</v>
      </c>
      <c r="L34" s="12" t="n">
        <v>3.9</v>
      </c>
      <c r="M34" s="12" t="n">
        <v>0.1</v>
      </c>
      <c r="N34" s="12" t="str">
        <v>https://nlc.chinanutri.cn/fq/foodinfo/479.html</v>
      </c>
      <c r="O34" s="14" t="str">
        <v>raw_edible_weight（烹调前可食部）</v>
      </c>
      <c r="P34" s="14" t="str">
        <v>g</v>
      </c>
      <c r="Q34" s="14" t="n">
        <v>30</v>
      </c>
      <c r="R34" s="14" t="n">
        <v>250</v>
      </c>
      <c r="S34" s="14" t="n">
        <v>10</v>
      </c>
      <c r="T34" s="14" t="str">
        <v>烹调前可食部；D/E早饱时优先较小熟软份量</v>
      </c>
      <c r="U34" s="14" t="str">
        <v>家庭量可辅助说明；数据库与处方以g/ml/个为真值</v>
      </c>
      <c r="V34" s="16" t="str">
        <v>MDT确认后可作为AI_GENERATED_DISH基础原料</v>
      </c>
      <c r="W34" s="16" t="str"/>
      <c r="X34" s="16" t="str"/>
      <c r="Y34" s="16" t="str"/>
      <c r="Z34" s="16" t="str">
        <v>normal; cook-soft-if-needed</v>
      </c>
      <c r="AA34" s="16" t="str">
        <v>可用</v>
      </c>
      <c r="AB34" s="16" t="str">
        <v>条件可用</v>
      </c>
      <c r="AC34" s="16" t="str">
        <v>E/早饱时小份、熟软、低体积，不能以大体积蔬菜挤占主食和蛋白。</v>
      </c>
      <c r="AD34" s="16" t="str">
        <v>AI可提出候选克重；必须在min/max/step内执行化。任何取整、替换、配方改变后由认可营养计算源重算；患者端显示g/ml/个，不能只显示“份”。</v>
      </c>
      <c r="AE34" s="16" t="str">
        <v>ZXY项目工程候选：参考T/CNSS交换份、中国居民膳食指南的食物组范围、当前49组件base用量和家庭可执行性；不是指南直接规定的单项处方边界。</v>
      </c>
      <c r="AF34" s="16" t="str">
        <v>CDC直接条目+项目执行规则</v>
      </c>
      <c r="AG34" s="16" t="str">
        <v>常规</v>
      </c>
      <c r="AH34" s="18" t="str">
        <v>ACTIVE</v>
      </c>
      <c r="AI34" s="18" t="str">
        <v>确认</v>
      </c>
      <c r="AJ34" s="18" t="str">
        <v>MDT按项目统一原则确认，可用于STANDARD_COMPONENT与AI_GENERATED_DISH的EXACT营养计算。</v>
      </c>
      <c r="AK34" s="18" t="str"/>
      <c r="AL34" s="18"/>
      <c r="AM34" s="2" t="str">
        <f>IF(OR(A34="",B34="",G34="",O34="",P34="",Q34="",R34="",S34="",COUNT(J34:M34)&lt;4),"MISSING_FIELDS",IF(OR(G34="PRODUCT_LABEL_REQUIRED",G34="PROJECT_REFERENCE_PENDING_MDT",G34="DERIVED_PROJECT_CANDIDATE_PENDING_MDT",G34="SPECIES_MATCH_REQUIRED",G34="IDENTITY_REVIEW_REQUIRED"),"SOURCE_REVIEW_REQUIRED",IF(AH34&lt;&gt;"ACTIVE","MDT_APPROVAL_REQUIRED","READY_FOR_USE")))</f>
        <v>READY_FOR_USE</v>
      </c>
      <c r="AN34" s="2" t="str">
        <v>per_100g</v>
      </c>
      <c r="AO34" s="2" t="str">
        <v>ACTIVE_FOR_EXACT</v>
      </c>
      <c r="AP34" s="2" t="str">
        <v>MDT按项目统一原则确认，可用于STANDARD_COMPONENT与AI_GENERATED_DISH的EXACT营养计算。</v>
      </c>
    </row>
    <row r="35">
      <c r="A35" s="2" t="str">
        <v>ING034</v>
      </c>
      <c r="B35" s="2" t="str">
        <v>茄子</v>
      </c>
      <c r="C35" s="2" t="str">
        <v>茄子(均值)</v>
      </c>
      <c r="D35" s="2" t="str">
        <v>蔬菜/菌藻</v>
      </c>
      <c r="E35" s="2" t="str">
        <v>蔬菜</v>
      </c>
      <c r="F35" s="2" t="str">
        <v>V010</v>
      </c>
      <c r="G35" s="12" t="str">
        <v>CDC_EXACT</v>
      </c>
      <c r="H35" s="12" t="n">
        <v>98</v>
      </c>
      <c r="I35" s="12"/>
      <c r="J35" s="12" t="n">
        <f>IF(H35&lt;&gt;"",ROUND(H35/4.184,1),I35)</f>
        <v>23.4</v>
      </c>
      <c r="K35" s="12" t="n">
        <v>1.1</v>
      </c>
      <c r="L35" s="12" t="n">
        <v>4.9</v>
      </c>
      <c r="M35" s="12" t="n">
        <v>0.2</v>
      </c>
      <c r="N35" s="12" t="str">
        <v>https://nlc.chinanutri.cn/fq/foodinfo/402.html</v>
      </c>
      <c r="O35" s="14" t="str">
        <v>raw_edible_weight（烹调前可食部）</v>
      </c>
      <c r="P35" s="14" t="str">
        <v>g</v>
      </c>
      <c r="Q35" s="14" t="n">
        <v>30</v>
      </c>
      <c r="R35" s="14" t="n">
        <v>250</v>
      </c>
      <c r="S35" s="14" t="n">
        <v>10</v>
      </c>
      <c r="T35" s="14" t="str">
        <v>烹调前可食部；D/E早饱时优先较小熟软份量</v>
      </c>
      <c r="U35" s="14" t="str">
        <v>家庭量可辅助说明；数据库与处方以g/ml/个为真值</v>
      </c>
      <c r="V35" s="16" t="str">
        <v>MDT确认后可作为AI_GENERATED_DISH基础原料</v>
      </c>
      <c r="W35" s="16" t="str"/>
      <c r="X35" s="16" t="str"/>
      <c r="Y35" s="16" t="str"/>
      <c r="Z35" s="16" t="str">
        <v>normal; cook-soft-if-needed</v>
      </c>
      <c r="AA35" s="16" t="str">
        <v>可用</v>
      </c>
      <c r="AB35" s="16" t="str">
        <v>条件可用</v>
      </c>
      <c r="AC35" s="16" t="str">
        <v>E/早饱时小份、熟软、低体积，不能以大体积蔬菜挤占主食和蛋白。</v>
      </c>
      <c r="AD35" s="16" t="str">
        <v>AI可提出候选克重；必须在min/max/step内执行化。任何取整、替换、配方改变后由认可营养计算源重算；患者端显示g/ml/个，不能只显示“份”。</v>
      </c>
      <c r="AE35" s="16" t="str">
        <v>ZXY项目工程候选：参考T/CNSS交换份、中国居民膳食指南的食物组范围、当前49组件base用量和家庭可执行性；不是指南直接规定的单项处方边界。</v>
      </c>
      <c r="AF35" s="16" t="str">
        <v>CDC直接条目+项目执行规则</v>
      </c>
      <c r="AG35" s="16" t="str">
        <v>常规</v>
      </c>
      <c r="AH35" s="18" t="str">
        <v>ACTIVE</v>
      </c>
      <c r="AI35" s="18" t="str">
        <v>确认</v>
      </c>
      <c r="AJ35" s="18" t="str">
        <v>MDT按项目统一原则确认，可用于STANDARD_COMPONENT与AI_GENERATED_DISH的EXACT营养计算。</v>
      </c>
      <c r="AK35" s="18" t="str"/>
      <c r="AL35" s="18"/>
      <c r="AM35" s="2" t="str">
        <f>IF(OR(A35="",B35="",G35="",O35="",P35="",Q35="",R35="",S35="",COUNT(J35:M35)&lt;4),"MISSING_FIELDS",IF(OR(G35="PRODUCT_LABEL_REQUIRED",G35="PROJECT_REFERENCE_PENDING_MDT",G35="DERIVED_PROJECT_CANDIDATE_PENDING_MDT",G35="SPECIES_MATCH_REQUIRED",G35="IDENTITY_REVIEW_REQUIRED"),"SOURCE_REVIEW_REQUIRED",IF(AH35&lt;&gt;"ACTIVE","MDT_APPROVAL_REQUIRED","READY_FOR_USE")))</f>
        <v>READY_FOR_USE</v>
      </c>
      <c r="AN35" s="2" t="str">
        <v>per_100g</v>
      </c>
      <c r="AO35" s="2" t="str">
        <v>ACTIVE_FOR_EXACT</v>
      </c>
      <c r="AP35" s="2" t="str">
        <v>MDT按项目统一原则确认，可用于STANDARD_COMPONENT与AI_GENERATED_DISH的EXACT营养计算。</v>
      </c>
    </row>
    <row r="36">
      <c r="A36" s="2" t="str">
        <v>ING035</v>
      </c>
      <c r="B36" s="2" t="str">
        <v>菠菜</v>
      </c>
      <c r="C36" s="2" t="str">
        <v>菠菜[赤根菜](鲜)</v>
      </c>
      <c r="D36" s="2" t="str">
        <v>蔬菜/菌藻</v>
      </c>
      <c r="E36" s="2" t="str">
        <v>蔬菜</v>
      </c>
      <c r="F36" s="2" t="str">
        <v>V002</v>
      </c>
      <c r="G36" s="12" t="str">
        <v>CDC_EXACT</v>
      </c>
      <c r="H36" s="12" t="n">
        <v>116</v>
      </c>
      <c r="I36" s="12"/>
      <c r="J36" s="12" t="n">
        <f>IF(H36&lt;&gt;"",ROUND(H36/4.184,1),I36)</f>
        <v>27.7</v>
      </c>
      <c r="K36" s="12" t="n">
        <v>2.6</v>
      </c>
      <c r="L36" s="12" t="n">
        <v>4.5</v>
      </c>
      <c r="M36" s="12" t="n">
        <v>0.3</v>
      </c>
      <c r="N36" s="12" t="str">
        <v>https://nlc.chinanutri.cn/fq/foodinfo/473.html</v>
      </c>
      <c r="O36" s="14" t="str">
        <v>raw_edible_weight（烹调前可食部）</v>
      </c>
      <c r="P36" s="14" t="str">
        <v>g</v>
      </c>
      <c r="Q36" s="14" t="n">
        <v>30</v>
      </c>
      <c r="R36" s="14" t="n">
        <v>250</v>
      </c>
      <c r="S36" s="14" t="n">
        <v>10</v>
      </c>
      <c r="T36" s="14" t="str">
        <v>烹调前可食部；D/E早饱时优先较小熟软份量</v>
      </c>
      <c r="U36" s="14" t="str">
        <v>家庭量可辅助说明；数据库与处方以g/ml/个为真值</v>
      </c>
      <c r="V36" s="16" t="str">
        <v>MDT确认后可作为AI_GENERATED_DISH基础原料</v>
      </c>
      <c r="W36" s="16" t="str"/>
      <c r="X36" s="16" t="str"/>
      <c r="Y36" s="16" t="str"/>
      <c r="Z36" s="16" t="str">
        <v>normal; cook-soft-if-needed</v>
      </c>
      <c r="AA36" s="16" t="str">
        <v>可用</v>
      </c>
      <c r="AB36" s="16" t="str">
        <v>条件可用</v>
      </c>
      <c r="AC36" s="16" t="str">
        <v>E/早饱时小份、熟软、低体积，不能以大体积蔬菜挤占主食和蛋白。</v>
      </c>
      <c r="AD36" s="16" t="str">
        <v>AI可提出候选克重；必须在min/max/step内执行化。任何取整、替换、配方改变后由认可营养计算源重算；患者端显示g/ml/个，不能只显示“份”。</v>
      </c>
      <c r="AE36" s="16" t="str">
        <v>ZXY项目工程候选：参考T/CNSS交换份、中国居民膳食指南的食物组范围、当前49组件base用量和家庭可执行性；不是指南直接规定的单项处方边界。</v>
      </c>
      <c r="AF36" s="16" t="str">
        <v>CDC直接条目+项目执行规则</v>
      </c>
      <c r="AG36" s="16" t="str">
        <v>常规</v>
      </c>
      <c r="AH36" s="18" t="str">
        <v>ACTIVE</v>
      </c>
      <c r="AI36" s="18" t="str">
        <v>确认</v>
      </c>
      <c r="AJ36" s="18" t="str">
        <v>MDT按项目统一原则确认，可用于STANDARD_COMPONENT与AI_GENERATED_DISH的EXACT营养计算。</v>
      </c>
      <c r="AK36" s="18" t="str"/>
      <c r="AL36" s="18"/>
      <c r="AM36" s="2" t="str">
        <f>IF(OR(A36="",B36="",G36="",O36="",P36="",Q36="",R36="",S36="",COUNT(J36:M36)&lt;4),"MISSING_FIELDS",IF(OR(G36="PRODUCT_LABEL_REQUIRED",G36="PROJECT_REFERENCE_PENDING_MDT",G36="DERIVED_PROJECT_CANDIDATE_PENDING_MDT",G36="SPECIES_MATCH_REQUIRED",G36="IDENTITY_REVIEW_REQUIRED"),"SOURCE_REVIEW_REQUIRED",IF(AH36&lt;&gt;"ACTIVE","MDT_APPROVAL_REQUIRED","READY_FOR_USE")))</f>
        <v>READY_FOR_USE</v>
      </c>
      <c r="AN36" s="2" t="str">
        <v>per_100g</v>
      </c>
      <c r="AO36" s="2" t="str">
        <v>ACTIVE_FOR_EXACT</v>
      </c>
      <c r="AP36" s="2" t="str">
        <v>MDT按项目统一原则确认，可用于STANDARD_COMPONENT与AI_GENERATED_DISH的EXACT营养计算。</v>
      </c>
    </row>
    <row r="37">
      <c r="A37" s="2" t="str">
        <v>ING036</v>
      </c>
      <c r="B37" s="2" t="str">
        <v>西兰花</v>
      </c>
      <c r="C37" s="2" t="str">
        <v>西兰花[绿菜花]</v>
      </c>
      <c r="D37" s="2" t="str">
        <v>蔬菜/菌藻</v>
      </c>
      <c r="E37" s="2" t="str">
        <v>蔬菜</v>
      </c>
      <c r="F37" s="2" t="str">
        <v>P010,V001,V012</v>
      </c>
      <c r="G37" s="12" t="str">
        <v>CDC_EXACT</v>
      </c>
      <c r="H37" s="12" t="n">
        <v>151</v>
      </c>
      <c r="I37" s="12"/>
      <c r="J37" s="12" t="n">
        <f>IF(H37&lt;&gt;"",ROUND(H37/4.184,1),I37)</f>
        <v>36.1</v>
      </c>
      <c r="K37" s="12" t="n">
        <v>4.1</v>
      </c>
      <c r="L37" s="12" t="n">
        <v>4.3</v>
      </c>
      <c r="M37" s="12" t="n">
        <v>0.6</v>
      </c>
      <c r="N37" s="12" t="str">
        <v>https://nlc.chinanutri.cn/fq/foodinfo/465.html</v>
      </c>
      <c r="O37" s="14" t="str">
        <v>raw_edible_weight（烹调前可食部）</v>
      </c>
      <c r="P37" s="14" t="str">
        <v>g</v>
      </c>
      <c r="Q37" s="14" t="n">
        <v>30</v>
      </c>
      <c r="R37" s="14" t="n">
        <v>250</v>
      </c>
      <c r="S37" s="14" t="n">
        <v>10</v>
      </c>
      <c r="T37" s="14" t="str">
        <v>烹调前可食部；D/E早饱时优先较小熟软份量</v>
      </c>
      <c r="U37" s="14" t="str">
        <v>家庭量可辅助说明；数据库与处方以g/ml/个为真值</v>
      </c>
      <c r="V37" s="16" t="str">
        <v>MDT确认后可作为AI_GENERATED_DISH基础原料</v>
      </c>
      <c r="W37" s="16" t="str"/>
      <c r="X37" s="16" t="str"/>
      <c r="Y37" s="16" t="str"/>
      <c r="Z37" s="16" t="str">
        <v>normal; cook-soft-if-needed</v>
      </c>
      <c r="AA37" s="16" t="str">
        <v>可用</v>
      </c>
      <c r="AB37" s="16" t="str">
        <v>条件可用</v>
      </c>
      <c r="AC37" s="16" t="str">
        <v>E/早饱时小份、熟软、低体积，不能以大体积蔬菜挤占主食和蛋白。</v>
      </c>
      <c r="AD37" s="16" t="str">
        <v>AI可提出候选克重；必须在min/max/step内执行化。任何取整、替换、配方改变后由认可营养计算源重算；患者端显示g/ml/个，不能只显示“份”。</v>
      </c>
      <c r="AE37" s="16" t="str">
        <v>ZXY项目工程候选：参考T/CNSS交换份、中国居民膳食指南的食物组范围、当前49组件base用量和家庭可执行性；不是指南直接规定的单项处方边界。</v>
      </c>
      <c r="AF37" s="16" t="str">
        <v>CDC直接条目+项目执行规则</v>
      </c>
      <c r="AG37" s="16" t="str">
        <v>常规</v>
      </c>
      <c r="AH37" s="18" t="str">
        <v>ACTIVE</v>
      </c>
      <c r="AI37" s="18" t="str">
        <v>确认</v>
      </c>
      <c r="AJ37" s="18" t="str">
        <v>MDT按项目统一原则确认，可用于STANDARD_COMPONENT与AI_GENERATED_DISH的EXACT营养计算。</v>
      </c>
      <c r="AK37" s="18" t="str"/>
      <c r="AL37" s="18"/>
      <c r="AM37" s="2" t="str">
        <f>IF(OR(A37="",B37="",G37="",O37="",P37="",Q37="",R37="",S37="",COUNT(J37:M37)&lt;4),"MISSING_FIELDS",IF(OR(G37="PRODUCT_LABEL_REQUIRED",G37="PROJECT_REFERENCE_PENDING_MDT",G37="DERIVED_PROJECT_CANDIDATE_PENDING_MDT",G37="SPECIES_MATCH_REQUIRED",G37="IDENTITY_REVIEW_REQUIRED"),"SOURCE_REVIEW_REQUIRED",IF(AH37&lt;&gt;"ACTIVE","MDT_APPROVAL_REQUIRED","READY_FOR_USE")))</f>
        <v>READY_FOR_USE</v>
      </c>
      <c r="AN37" s="2" t="str">
        <v>per_100g</v>
      </c>
      <c r="AO37" s="2" t="str">
        <v>ACTIVE_FOR_EXACT</v>
      </c>
      <c r="AP37" s="2" t="str">
        <v>MDT按项目统一原则确认，可用于STANDARD_COMPONENT与AI_GENERATED_DISH的EXACT营养计算。</v>
      </c>
    </row>
    <row r="38">
      <c r="A38" s="2" t="str">
        <v>ING037</v>
      </c>
      <c r="B38" s="2" t="str">
        <v>西葫芦</v>
      </c>
      <c r="C38" s="2" t="str">
        <v>西葫芦</v>
      </c>
      <c r="D38" s="2" t="str">
        <v>蔬菜/菌藻</v>
      </c>
      <c r="E38" s="2" t="str">
        <v>蔬菜</v>
      </c>
      <c r="F38" s="2" t="str">
        <v>P012,V008</v>
      </c>
      <c r="G38" s="12" t="str">
        <v>CDC_EXACT</v>
      </c>
      <c r="H38" s="12" t="n">
        <v>80</v>
      </c>
      <c r="I38" s="12"/>
      <c r="J38" s="12" t="n">
        <f>IF(H38&lt;&gt;"",ROUND(H38/4.184,1),I38)</f>
        <v>19.1</v>
      </c>
      <c r="K38" s="12" t="n">
        <v>0.8</v>
      </c>
      <c r="L38" s="12" t="n">
        <v>3.8</v>
      </c>
      <c r="M38" s="12" t="n">
        <v>0.2</v>
      </c>
      <c r="N38" s="12" t="str">
        <v>https://nlc.chinanutri.cn/fq/foodinfo/431.html</v>
      </c>
      <c r="O38" s="14" t="str">
        <v>raw_edible_weight（烹调前可食部）</v>
      </c>
      <c r="P38" s="14" t="str">
        <v>g</v>
      </c>
      <c r="Q38" s="14" t="n">
        <v>30</v>
      </c>
      <c r="R38" s="14" t="n">
        <v>250</v>
      </c>
      <c r="S38" s="14" t="n">
        <v>10</v>
      </c>
      <c r="T38" s="14" t="str">
        <v>烹调前可食部；D/E早饱时优先较小熟软份量</v>
      </c>
      <c r="U38" s="14" t="str">
        <v>家庭量可辅助说明；数据库与处方以g/ml/个为真值</v>
      </c>
      <c r="V38" s="16" t="str">
        <v>MDT确认后可作为AI_GENERATED_DISH基础原料</v>
      </c>
      <c r="W38" s="16" t="str"/>
      <c r="X38" s="16" t="str"/>
      <c r="Y38" s="16" t="str"/>
      <c r="Z38" s="16" t="str">
        <v>normal; cook-soft-if-needed</v>
      </c>
      <c r="AA38" s="16" t="str">
        <v>可用</v>
      </c>
      <c r="AB38" s="16" t="str">
        <v>条件可用</v>
      </c>
      <c r="AC38" s="16" t="str">
        <v>E/早饱时小份、熟软、低体积，不能以大体积蔬菜挤占主食和蛋白。</v>
      </c>
      <c r="AD38" s="16" t="str">
        <v>AI可提出候选克重；必须在min/max/step内执行化。任何取整、替换、配方改变后由认可营养计算源重算；患者端显示g/ml/个，不能只显示“份”。</v>
      </c>
      <c r="AE38" s="16" t="str">
        <v>ZXY项目工程候选：参考T/CNSS交换份、中国居民膳食指南的食物组范围、当前49组件base用量和家庭可执行性；不是指南直接规定的单项处方边界。</v>
      </c>
      <c r="AF38" s="16" t="str">
        <v>CDC直接条目+项目执行规则</v>
      </c>
      <c r="AG38" s="16" t="str">
        <v>常规</v>
      </c>
      <c r="AH38" s="18" t="str">
        <v>ACTIVE</v>
      </c>
      <c r="AI38" s="18" t="str">
        <v>确认</v>
      </c>
      <c r="AJ38" s="18" t="str">
        <v>MDT按项目统一原则确认，可用于STANDARD_COMPONENT与AI_GENERATED_DISH的EXACT营养计算。</v>
      </c>
      <c r="AK38" s="18" t="str"/>
      <c r="AL38" s="18"/>
      <c r="AM38" s="2" t="str">
        <f>IF(OR(A38="",B38="",G38="",O38="",P38="",Q38="",R38="",S38="",COUNT(J38:M38)&lt;4),"MISSING_FIELDS",IF(OR(G38="PRODUCT_LABEL_REQUIRED",G38="PROJECT_REFERENCE_PENDING_MDT",G38="DERIVED_PROJECT_CANDIDATE_PENDING_MDT",G38="SPECIES_MATCH_REQUIRED",G38="IDENTITY_REVIEW_REQUIRED"),"SOURCE_REVIEW_REQUIRED",IF(AH38&lt;&gt;"ACTIVE","MDT_APPROVAL_REQUIRED","READY_FOR_USE")))</f>
        <v>READY_FOR_USE</v>
      </c>
      <c r="AN38" s="2" t="str">
        <v>per_100g</v>
      </c>
      <c r="AO38" s="2" t="str">
        <v>ACTIVE_FOR_EXACT</v>
      </c>
      <c r="AP38" s="2" t="str">
        <v>MDT按项目统一原则确认，可用于STANDARD_COMPONENT与AI_GENERATED_DISH的EXACT营养计算。</v>
      </c>
    </row>
    <row r="39">
      <c r="A39" s="2" t="str">
        <v>ING038</v>
      </c>
      <c r="B39" s="2" t="str">
        <v>香菇鲜</v>
      </c>
      <c r="C39" s="2" t="str">
        <v>香菇[香蕈，冬菇](鲜)</v>
      </c>
      <c r="D39" s="2" t="str">
        <v>蔬菜/菌藻</v>
      </c>
      <c r="E39" s="2" t="str">
        <v>菌藻</v>
      </c>
      <c r="F39" s="2" t="str">
        <v>P004,P008,V003,V009</v>
      </c>
      <c r="G39" s="12" t="str">
        <v>CDC_EXACT</v>
      </c>
      <c r="H39" s="12" t="n">
        <v>107</v>
      </c>
      <c r="I39" s="12"/>
      <c r="J39" s="12" t="n">
        <f>IF(H39&lt;&gt;"",ROUND(H39/4.184,1),I39)</f>
        <v>25.6</v>
      </c>
      <c r="K39" s="12" t="n">
        <v>2.2</v>
      </c>
      <c r="L39" s="12" t="n">
        <v>5.2</v>
      </c>
      <c r="M39" s="12" t="n">
        <v>0.3</v>
      </c>
      <c r="N39" s="12" t="str">
        <v>https://nlc.chinanutri.cn/fq/foodinfo/584.html</v>
      </c>
      <c r="O39" s="14" t="str">
        <v>raw_edible_weight（烹调前可食部）</v>
      </c>
      <c r="P39" s="14" t="str">
        <v>g</v>
      </c>
      <c r="Q39" s="14" t="n">
        <v>20</v>
      </c>
      <c r="R39" s="14" t="n">
        <v>150</v>
      </c>
      <c r="S39" s="14" t="n">
        <v>10</v>
      </c>
      <c r="T39" s="14" t="str">
        <v>烹调前可食部</v>
      </c>
      <c r="U39" s="14" t="str">
        <v>家庭量可辅助说明；数据库与处方以g/ml/个为真值</v>
      </c>
      <c r="V39" s="16" t="str">
        <v>MDT确认后可作为AI_GENERATED_DISH基础原料</v>
      </c>
      <c r="W39" s="16" t="str"/>
      <c r="X39" s="16" t="str"/>
      <c r="Y39" s="16" t="str"/>
      <c r="Z39" s="16" t="str">
        <v>normal; cook-soft-if-needed</v>
      </c>
      <c r="AA39" s="16" t="str">
        <v>可用</v>
      </c>
      <c r="AB39" s="16" t="str">
        <v>条件可用</v>
      </c>
      <c r="AC39" s="16" t="str">
        <v>E/早饱时小份、熟软、低体积，不能以大体积蔬菜挤占主食和蛋白。</v>
      </c>
      <c r="AD39" s="16" t="str">
        <v>AI可提出候选克重；必须在min/max/step内执行化。任何取整、替换、配方改变后由认可营养计算源重算；患者端显示g/ml/个，不能只显示“份”。</v>
      </c>
      <c r="AE39" s="16" t="str">
        <v>ZXY项目工程候选：参考T/CNSS交换份、中国居民膳食指南的食物组范围、当前49组件base用量和家庭可执行性；不是指南直接规定的单项处方边界。</v>
      </c>
      <c r="AF39" s="16" t="str">
        <v>CDC直接条目+项目执行规则</v>
      </c>
      <c r="AG39" s="16" t="str">
        <v>常规</v>
      </c>
      <c r="AH39" s="18" t="str">
        <v>ACTIVE</v>
      </c>
      <c r="AI39" s="18" t="str">
        <v>确认</v>
      </c>
      <c r="AJ39" s="18" t="str">
        <v>MDT按项目统一原则确认，可用于STANDARD_COMPONENT与AI_GENERATED_DISH的EXACT营养计算。</v>
      </c>
      <c r="AK39" s="18" t="str"/>
      <c r="AL39" s="18"/>
      <c r="AM39" s="2" t="str">
        <f>IF(OR(A39="",B39="",G39="",O39="",P39="",Q39="",R39="",S39="",COUNT(J39:M39)&lt;4),"MISSING_FIELDS",IF(OR(G39="PRODUCT_LABEL_REQUIRED",G39="PROJECT_REFERENCE_PENDING_MDT",G39="DERIVED_PROJECT_CANDIDATE_PENDING_MDT",G39="SPECIES_MATCH_REQUIRED",G39="IDENTITY_REVIEW_REQUIRED"),"SOURCE_REVIEW_REQUIRED",IF(AH39&lt;&gt;"ACTIVE","MDT_APPROVAL_REQUIRED","READY_FOR_USE")))</f>
        <v>READY_FOR_USE</v>
      </c>
      <c r="AN39" s="2" t="str">
        <v>per_100g</v>
      </c>
      <c r="AO39" s="2" t="str">
        <v>ACTIVE_FOR_EXACT</v>
      </c>
      <c r="AP39" s="2" t="str">
        <v>MDT按项目统一原则确认，可用于STANDARD_COMPONENT与AI_GENERATED_DISH的EXACT营养计算。</v>
      </c>
    </row>
    <row r="40">
      <c r="A40" s="2" t="str">
        <v>ING039</v>
      </c>
      <c r="B40" s="2" t="str">
        <v>黄瓜</v>
      </c>
      <c r="C40" s="2" t="str">
        <v>黄瓜[胡瓜](鲜)</v>
      </c>
      <c r="D40" s="2" t="str">
        <v>蔬菜/菌藻</v>
      </c>
      <c r="E40" s="2" t="str">
        <v>蔬菜</v>
      </c>
      <c r="F40" s="2" t="str">
        <v>V006</v>
      </c>
      <c r="G40" s="12" t="str">
        <v>CDC_EXACT</v>
      </c>
      <c r="H40" s="12" t="n">
        <v>66</v>
      </c>
      <c r="I40" s="12"/>
      <c r="J40" s="12" t="n">
        <f>IF(H40&lt;&gt;"",ROUND(H40/4.184,1),I40)</f>
        <v>15.8</v>
      </c>
      <c r="K40" s="12" t="n">
        <v>0.8</v>
      </c>
      <c r="L40" s="12" t="n">
        <v>2.9</v>
      </c>
      <c r="M40" s="12" t="n">
        <v>0.2</v>
      </c>
      <c r="N40" s="12" t="str">
        <v>https://nlc.chinanutri.cn/fq/foodinfo/422.html</v>
      </c>
      <c r="O40" s="14" t="str">
        <v>raw_edible_weight（烹调前可食部）</v>
      </c>
      <c r="P40" s="14" t="str">
        <v>g</v>
      </c>
      <c r="Q40" s="14" t="n">
        <v>30</v>
      </c>
      <c r="R40" s="14" t="n">
        <v>250</v>
      </c>
      <c r="S40" s="14" t="n">
        <v>10</v>
      </c>
      <c r="T40" s="14" t="str">
        <v>烹调前可食部；D/E早饱时优先较小熟软份量</v>
      </c>
      <c r="U40" s="14" t="str">
        <v>家庭量可辅助说明；数据库与处方以g/ml/个为真值</v>
      </c>
      <c r="V40" s="16" t="str">
        <v>MDT确认后可作为AI_GENERATED_DISH基础原料</v>
      </c>
      <c r="W40" s="16" t="str"/>
      <c r="X40" s="16" t="str">
        <v>围手术期食品卫生风险高时优先熟制替代</v>
      </c>
      <c r="Y40" s="16" t="str"/>
      <c r="Z40" s="16" t="str">
        <v>normal; cook-soft-if-needed</v>
      </c>
      <c r="AA40" s="16" t="str">
        <v>可用</v>
      </c>
      <c r="AB40" s="16" t="str">
        <v>条件可用</v>
      </c>
      <c r="AC40" s="16" t="str">
        <v>E/早饱时小份、熟软、低体积，不能以大体积蔬菜挤占主食和蛋白。</v>
      </c>
      <c r="AD40" s="16" t="str">
        <v>AI可提出候选克重；必须在min/max/step内执行化。任何取整、替换、配方改变后由认可营养计算源重算；患者端显示g/ml/个，不能只显示“份”。</v>
      </c>
      <c r="AE40" s="16" t="str">
        <v>ZXY项目工程候选：参考T/CNSS交换份、中国居民膳食指南的食物组范围、当前49组件base用量和家庭可执行性；不是指南直接规定的单项处方边界。</v>
      </c>
      <c r="AF40" s="16" t="str">
        <v>CDC直接条目+项目执行规则</v>
      </c>
      <c r="AG40" s="16" t="str">
        <v>常规</v>
      </c>
      <c r="AH40" s="18" t="str">
        <v>ACTIVE</v>
      </c>
      <c r="AI40" s="18" t="str">
        <v>确认</v>
      </c>
      <c r="AJ40" s="18" t="str">
        <v>MDT按项目统一原则确认，可用于STANDARD_COMPONENT与AI_GENERATED_DISH的EXACT营养计算。</v>
      </c>
      <c r="AK40" s="18" t="str"/>
      <c r="AL40" s="18"/>
      <c r="AM40" s="2" t="str">
        <f>IF(OR(A40="",B40="",G40="",O40="",P40="",Q40="",R40="",S40="",COUNT(J40:M40)&lt;4),"MISSING_FIELDS",IF(OR(G40="PRODUCT_LABEL_REQUIRED",G40="PROJECT_REFERENCE_PENDING_MDT",G40="DERIVED_PROJECT_CANDIDATE_PENDING_MDT",G40="SPECIES_MATCH_REQUIRED",G40="IDENTITY_REVIEW_REQUIRED"),"SOURCE_REVIEW_REQUIRED",IF(AH40&lt;&gt;"ACTIVE","MDT_APPROVAL_REQUIRED","READY_FOR_USE")))</f>
        <v>READY_FOR_USE</v>
      </c>
      <c r="AN40" s="2" t="str">
        <v>per_100g</v>
      </c>
      <c r="AO40" s="2" t="str">
        <v>ACTIVE_FOR_EXACT</v>
      </c>
      <c r="AP40" s="2" t="str">
        <v>MDT按项目统一原则确认，可用于STANDARD_COMPONENT与AI_GENERATED_DISH的EXACT营养计算。</v>
      </c>
    </row>
    <row r="41">
      <c r="A41" s="2" t="str">
        <v>ING040</v>
      </c>
      <c r="B41" s="2" t="str">
        <v>梨</v>
      </c>
      <c r="C41" s="2" t="str">
        <v>梨(均值)</v>
      </c>
      <c r="D41" s="2" t="str">
        <v>水果</v>
      </c>
      <c r="E41" s="2" t="str">
        <v>水果</v>
      </c>
      <c r="F41" s="2" t="str">
        <v>S003</v>
      </c>
      <c r="G41" s="12" t="str">
        <v>CDC_EXACT</v>
      </c>
      <c r="H41" s="12" t="n">
        <v>212</v>
      </c>
      <c r="I41" s="12"/>
      <c r="J41" s="12" t="n">
        <f>IF(H41&lt;&gt;"",ROUND(H41/4.184,1),I41)</f>
        <v>50.7</v>
      </c>
      <c r="K41" s="12" t="n">
        <v>0.4</v>
      </c>
      <c r="L41" s="12" t="n">
        <v>13.3</v>
      </c>
      <c r="M41" s="12" t="n">
        <v>0.2</v>
      </c>
      <c r="N41" s="12" t="str">
        <v>https://nlc.chinanutri.cn/fq/foodinfo/630.html</v>
      </c>
      <c r="O41" s="14" t="str">
        <v>raw_edible_weight（烹调前可食部）</v>
      </c>
      <c r="P41" s="14" t="str">
        <v>g</v>
      </c>
      <c r="Q41" s="14" t="n">
        <v>50</v>
      </c>
      <c r="R41" s="14" t="n">
        <v>200</v>
      </c>
      <c r="S41" s="14" t="n">
        <v>10</v>
      </c>
      <c r="T41" s="14" t="str">
        <v>可食部；建议作为独立加餐时仍按全日目标重算</v>
      </c>
      <c r="U41" s="14" t="str">
        <v>家庭量可辅助说明；数据库与处方以g/ml/个为真值</v>
      </c>
      <c r="V41" s="16" t="str">
        <v>MDT确认后可作为AI_GENERATED_DISH基础原料</v>
      </c>
      <c r="W41" s="16" t="str"/>
      <c r="X41" s="16" t="str"/>
      <c r="Y41" s="16" t="str"/>
      <c r="Z41" s="16" t="str">
        <v>normal; cook-soft-if-needed</v>
      </c>
      <c r="AA41" s="16" t="str">
        <v>可用</v>
      </c>
      <c r="AB41" s="16" t="str">
        <v>条件可用</v>
      </c>
      <c r="AC41" s="16" t="str">
        <v>早饱时优先独立加餐，不挤占正餐主食/蛋白；糖代谢异常时纳入总碳水。</v>
      </c>
      <c r="AD41" s="16" t="str">
        <v>AI可提出候选克重；必须在min/max/step内执行化。任何取整、替换、配方改变后由认可营养计算源重算；患者端显示g/ml/个，不能只显示“份”。</v>
      </c>
      <c r="AE41" s="16" t="str">
        <v>ZXY项目工程候选：参考T/CNSS交换份、中国居民膳食指南的食物组范围、当前49组件base用量和家庭可执行性；不是指南直接规定的单项处方边界。</v>
      </c>
      <c r="AF41" s="16" t="str">
        <v>CDC直接条目+项目执行规则</v>
      </c>
      <c r="AG41" s="16" t="str">
        <v>常规</v>
      </c>
      <c r="AH41" s="18" t="str">
        <v>ACTIVE</v>
      </c>
      <c r="AI41" s="18" t="str">
        <v>确认</v>
      </c>
      <c r="AJ41" s="18" t="str">
        <v>MDT按项目统一原则确认，可用于STANDARD_COMPONENT与AI_GENERATED_DISH的EXACT营养计算。</v>
      </c>
      <c r="AK41" s="18" t="str"/>
      <c r="AL41" s="18"/>
      <c r="AM41" s="2" t="str">
        <f>IF(OR(A41="",B41="",G41="",O41="",P41="",Q41="",R41="",S41="",COUNT(J41:M41)&lt;4),"MISSING_FIELDS",IF(OR(G41="PRODUCT_LABEL_REQUIRED",G41="PROJECT_REFERENCE_PENDING_MDT",G41="DERIVED_PROJECT_CANDIDATE_PENDING_MDT",G41="SPECIES_MATCH_REQUIRED",G41="IDENTITY_REVIEW_REQUIRED"),"SOURCE_REVIEW_REQUIRED",IF(AH41&lt;&gt;"ACTIVE","MDT_APPROVAL_REQUIRED","READY_FOR_USE")))</f>
        <v>READY_FOR_USE</v>
      </c>
      <c r="AN41" s="2" t="str">
        <v>per_100g</v>
      </c>
      <c r="AO41" s="2" t="str">
        <v>ACTIVE_FOR_EXACT</v>
      </c>
      <c r="AP41" s="2" t="str">
        <v>MDT按项目统一原则确认，可用于STANDARD_COMPONENT与AI_GENERATED_DISH的EXACT营养计算。</v>
      </c>
    </row>
    <row r="42">
      <c r="A42" s="2" t="str">
        <v>ING041</v>
      </c>
      <c r="B42" s="2" t="str">
        <v>橙</v>
      </c>
      <c r="C42" s="2" t="str">
        <v>橙</v>
      </c>
      <c r="D42" s="2" t="str">
        <v>水果</v>
      </c>
      <c r="E42" s="2" t="str">
        <v>水果</v>
      </c>
      <c r="F42" s="2" t="str">
        <v>S006</v>
      </c>
      <c r="G42" s="12" t="str">
        <v>CDC_EXACT</v>
      </c>
      <c r="H42" s="12" t="n">
        <v>204</v>
      </c>
      <c r="I42" s="12"/>
      <c r="J42" s="12" t="n">
        <f>IF(H42&lt;&gt;"",ROUND(H42/4.184,1),I42)</f>
        <v>48.8</v>
      </c>
      <c r="K42" s="12" t="n">
        <v>0.8</v>
      </c>
      <c r="L42" s="12" t="n">
        <v>11.1</v>
      </c>
      <c r="M42" s="12" t="n">
        <v>0.2</v>
      </c>
      <c r="N42" s="12" t="str">
        <v>https://nlc.chinanutri.cn/fq/foodinfo/704.html</v>
      </c>
      <c r="O42" s="14" t="str">
        <v>raw_edible_weight（烹调前可食部）</v>
      </c>
      <c r="P42" s="14" t="str">
        <v>g</v>
      </c>
      <c r="Q42" s="14" t="n">
        <v>50</v>
      </c>
      <c r="R42" s="14" t="n">
        <v>200</v>
      </c>
      <c r="S42" s="14" t="n">
        <v>10</v>
      </c>
      <c r="T42" s="14" t="str">
        <v>可食部；建议作为独立加餐时仍按全日目标重算</v>
      </c>
      <c r="U42" s="14" t="str">
        <v>家庭量可辅助说明；数据库与处方以g/ml/个为真值</v>
      </c>
      <c r="V42" s="16" t="str">
        <v>MDT确认后可作为AI_GENERATED_DISH基础原料</v>
      </c>
      <c r="W42" s="16" t="str"/>
      <c r="X42" s="16" t="str"/>
      <c r="Y42" s="16" t="str"/>
      <c r="Z42" s="16" t="str">
        <v>normal; cook-soft-if-needed</v>
      </c>
      <c r="AA42" s="16" t="str">
        <v>可用</v>
      </c>
      <c r="AB42" s="16" t="str">
        <v>条件可用</v>
      </c>
      <c r="AC42" s="16" t="str">
        <v>早饱时优先独立加餐，不挤占正餐主食/蛋白；糖代谢异常时纳入总碳水。</v>
      </c>
      <c r="AD42" s="16" t="str">
        <v>AI可提出候选克重；必须在min/max/step内执行化。任何取整、替换、配方改变后由认可营养计算源重算；患者端显示g/ml/个，不能只显示“份”。</v>
      </c>
      <c r="AE42" s="16" t="str">
        <v>ZXY项目工程候选：参考T/CNSS交换份、中国居民膳食指南的食物组范围、当前49组件base用量和家庭可执行性；不是指南直接规定的单项处方边界。</v>
      </c>
      <c r="AF42" s="16" t="str">
        <v>CDC直接条目+项目执行规则</v>
      </c>
      <c r="AG42" s="16" t="str">
        <v>常规</v>
      </c>
      <c r="AH42" s="18" t="str">
        <v>ACTIVE</v>
      </c>
      <c r="AI42" s="18" t="str">
        <v>确认</v>
      </c>
      <c r="AJ42" s="18" t="str">
        <v>MDT按项目统一原则确认，可用于STANDARD_COMPONENT与AI_GENERATED_DISH的EXACT营养计算。</v>
      </c>
      <c r="AK42" s="18" t="str"/>
      <c r="AL42" s="18"/>
      <c r="AM42" s="2" t="str">
        <f>IF(OR(A42="",B42="",G42="",O42="",P42="",Q42="",R42="",S42="",COUNT(J42:M42)&lt;4),"MISSING_FIELDS",IF(OR(G42="PRODUCT_LABEL_REQUIRED",G42="PROJECT_REFERENCE_PENDING_MDT",G42="DERIVED_PROJECT_CANDIDATE_PENDING_MDT",G42="SPECIES_MATCH_REQUIRED",G42="IDENTITY_REVIEW_REQUIRED"),"SOURCE_REVIEW_REQUIRED",IF(AH42&lt;&gt;"ACTIVE","MDT_APPROVAL_REQUIRED","READY_FOR_USE")))</f>
        <v>READY_FOR_USE</v>
      </c>
      <c r="AN42" s="2" t="str">
        <v>per_100g</v>
      </c>
      <c r="AO42" s="2" t="str">
        <v>ACTIVE_FOR_EXACT</v>
      </c>
      <c r="AP42" s="2" t="str">
        <v>MDT按项目统一原则确认，可用于STANDARD_COMPONENT与AI_GENERATED_DISH的EXACT营养计算。</v>
      </c>
    </row>
    <row r="43">
      <c r="A43" s="2" t="str">
        <v>ING042</v>
      </c>
      <c r="B43" s="2" t="str">
        <v>猕猴桃</v>
      </c>
      <c r="C43" s="2" t="str">
        <v>中华猕猴桃[毛叶猕猴桃]</v>
      </c>
      <c r="D43" s="2" t="str">
        <v>水果</v>
      </c>
      <c r="E43" s="2" t="str">
        <v>水果</v>
      </c>
      <c r="F43" s="2" t="str">
        <v>S010</v>
      </c>
      <c r="G43" s="12" t="str">
        <v>CDC_EXACT</v>
      </c>
      <c r="H43" s="12" t="n">
        <v>259</v>
      </c>
      <c r="I43" s="12"/>
      <c r="J43" s="12" t="n">
        <f>IF(H43&lt;&gt;"",ROUND(H43/4.184,1),I43)</f>
        <v>61.9</v>
      </c>
      <c r="K43" s="12" t="n">
        <v>0.8</v>
      </c>
      <c r="L43" s="12" t="n">
        <v>14.5</v>
      </c>
      <c r="M43" s="12" t="n">
        <v>0.6</v>
      </c>
      <c r="N43" s="12" t="str">
        <v>https://nlc.chinanutri.cn/fq/foodinfo/700.html</v>
      </c>
      <c r="O43" s="14" t="str">
        <v>raw_edible_weight（烹调前可食部）</v>
      </c>
      <c r="P43" s="14" t="str">
        <v>g</v>
      </c>
      <c r="Q43" s="14" t="n">
        <v>50</v>
      </c>
      <c r="R43" s="14" t="n">
        <v>200</v>
      </c>
      <c r="S43" s="14" t="n">
        <v>10</v>
      </c>
      <c r="T43" s="14" t="str">
        <v>可食部；建议作为独立加餐时仍按全日目标重算</v>
      </c>
      <c r="U43" s="14" t="str">
        <v>家庭量可辅助说明；数据库与处方以g/ml/个为真值</v>
      </c>
      <c r="V43" s="16" t="str">
        <v>MDT确认后可作为AI_GENERATED_DISH基础原料</v>
      </c>
      <c r="W43" s="16" t="str"/>
      <c r="X43" s="16" t="str"/>
      <c r="Y43" s="16" t="str"/>
      <c r="Z43" s="16" t="str">
        <v>normal; cook-soft-if-needed</v>
      </c>
      <c r="AA43" s="16" t="str">
        <v>可用</v>
      </c>
      <c r="AB43" s="16" t="str">
        <v>条件可用</v>
      </c>
      <c r="AC43" s="16" t="str">
        <v>早饱时优先独立加餐，不挤占正餐主食/蛋白；糖代谢异常时纳入总碳水。</v>
      </c>
      <c r="AD43" s="16" t="str">
        <v>AI可提出候选克重；必须在min/max/step内执行化。任何取整、替换、配方改变后由认可营养计算源重算；患者端显示g/ml/个，不能只显示“份”。</v>
      </c>
      <c r="AE43" s="16" t="str">
        <v>ZXY项目工程候选：参考T/CNSS交换份、中国居民膳食指南的食物组范围、当前49组件base用量和家庭可执行性；不是指南直接规定的单项处方边界。</v>
      </c>
      <c r="AF43" s="16" t="str">
        <v>CDC直接条目+项目执行规则</v>
      </c>
      <c r="AG43" s="16" t="str">
        <v>常规</v>
      </c>
      <c r="AH43" s="18" t="str">
        <v>ACTIVE</v>
      </c>
      <c r="AI43" s="18" t="str">
        <v>确认</v>
      </c>
      <c r="AJ43" s="18" t="str">
        <v>MDT按项目统一原则确认，可用于STANDARD_COMPONENT与AI_GENERATED_DISH的EXACT营养计算。</v>
      </c>
      <c r="AK43" s="18" t="str"/>
      <c r="AL43" s="18"/>
      <c r="AM43" s="2" t="str">
        <f>IF(OR(A43="",B43="",G43="",O43="",P43="",Q43="",R43="",S43="",COUNT(J43:M43)&lt;4),"MISSING_FIELDS",IF(OR(G43="PRODUCT_LABEL_REQUIRED",G43="PROJECT_REFERENCE_PENDING_MDT",G43="DERIVED_PROJECT_CANDIDATE_PENDING_MDT",G43="SPECIES_MATCH_REQUIRED",G43="IDENTITY_REVIEW_REQUIRED"),"SOURCE_REVIEW_REQUIRED",IF(AH43&lt;&gt;"ACTIVE","MDT_APPROVAL_REQUIRED","READY_FOR_USE")))</f>
        <v>READY_FOR_USE</v>
      </c>
      <c r="AN43" s="2" t="str">
        <v>per_100g</v>
      </c>
      <c r="AO43" s="2" t="str">
        <v>ACTIVE_FOR_EXACT</v>
      </c>
      <c r="AP43" s="2" t="str">
        <v>MDT按项目统一原则确认，可用于STANDARD_COMPONENT与AI_GENERATED_DISH的EXACT营养计算。</v>
      </c>
    </row>
    <row r="44">
      <c r="A44" s="2" t="str">
        <v>ING043</v>
      </c>
      <c r="B44" s="2" t="str">
        <v>苹果</v>
      </c>
      <c r="C44" s="2" t="str">
        <v>苹果(均值)</v>
      </c>
      <c r="D44" s="2" t="str">
        <v>水果</v>
      </c>
      <c r="E44" s="2" t="str">
        <v>水果</v>
      </c>
      <c r="F44" s="2" t="str">
        <v>S001,S007</v>
      </c>
      <c r="G44" s="12" t="str">
        <v>CDC_EXACT</v>
      </c>
      <c r="H44" s="12" t="n">
        <v>229</v>
      </c>
      <c r="I44" s="12"/>
      <c r="J44" s="12" t="n">
        <f>IF(H44&lt;&gt;"",ROUND(H44/4.184,1),I44)</f>
        <v>54.7</v>
      </c>
      <c r="K44" s="12" t="n">
        <v>0.2</v>
      </c>
      <c r="L44" s="12" t="n">
        <v>13.5</v>
      </c>
      <c r="M44" s="12" t="n">
        <v>0.2</v>
      </c>
      <c r="N44" s="12" t="str">
        <v>https://nlc.chinanutri.cn/fq/foodinfo/613.html</v>
      </c>
      <c r="O44" s="14" t="str">
        <v>raw_edible_weight（烹调前可食部）</v>
      </c>
      <c r="P44" s="14" t="str">
        <v>g</v>
      </c>
      <c r="Q44" s="14" t="n">
        <v>50</v>
      </c>
      <c r="R44" s="14" t="n">
        <v>200</v>
      </c>
      <c r="S44" s="14" t="n">
        <v>10</v>
      </c>
      <c r="T44" s="14" t="str">
        <v>可食部；建议作为独立加餐时仍按全日目标重算</v>
      </c>
      <c r="U44" s="14" t="str">
        <v>家庭量可辅助说明；数据库与处方以g/ml/个为真值</v>
      </c>
      <c r="V44" s="16" t="str">
        <v>MDT确认后可作为AI_GENERATED_DISH基础原料</v>
      </c>
      <c r="W44" s="16" t="str"/>
      <c r="X44" s="16" t="str"/>
      <c r="Y44" s="16" t="str"/>
      <c r="Z44" s="16" t="str">
        <v>normal; cook-soft-if-needed</v>
      </c>
      <c r="AA44" s="16" t="str">
        <v>可用</v>
      </c>
      <c r="AB44" s="16" t="str">
        <v>条件可用</v>
      </c>
      <c r="AC44" s="16" t="str">
        <v>早饱时优先独立加餐，不挤占正餐主食/蛋白；糖代谢异常时纳入总碳水。</v>
      </c>
      <c r="AD44" s="16" t="str">
        <v>AI可提出候选克重；必须在min/max/step内执行化。任何取整、替换、配方改变后由认可营养计算源重算；患者端显示g/ml/个，不能只显示“份”。</v>
      </c>
      <c r="AE44" s="16" t="str">
        <v>ZXY项目工程候选：参考T/CNSS交换份、中国居民膳食指南的食物组范围、当前49组件base用量和家庭可执行性；不是指南直接规定的单项处方边界。</v>
      </c>
      <c r="AF44" s="16" t="str">
        <v>CDC直接条目+项目执行规则</v>
      </c>
      <c r="AG44" s="16" t="str">
        <v>常规</v>
      </c>
      <c r="AH44" s="18" t="str">
        <v>ACTIVE</v>
      </c>
      <c r="AI44" s="18" t="str">
        <v>确认</v>
      </c>
      <c r="AJ44" s="18" t="str">
        <v>MDT按项目统一原则确认，可用于STANDARD_COMPONENT与AI_GENERATED_DISH的EXACT营养计算。</v>
      </c>
      <c r="AK44" s="18" t="str"/>
      <c r="AL44" s="18"/>
      <c r="AM44" s="2" t="str">
        <f>IF(OR(A44="",B44="",G44="",O44="",P44="",Q44="",R44="",S44="",COUNT(J44:M44)&lt;4),"MISSING_FIELDS",IF(OR(G44="PRODUCT_LABEL_REQUIRED",G44="PROJECT_REFERENCE_PENDING_MDT",G44="DERIVED_PROJECT_CANDIDATE_PENDING_MDT",G44="SPECIES_MATCH_REQUIRED",G44="IDENTITY_REVIEW_REQUIRED"),"SOURCE_REVIEW_REQUIRED",IF(AH44&lt;&gt;"ACTIVE","MDT_APPROVAL_REQUIRED","READY_FOR_USE")))</f>
        <v>READY_FOR_USE</v>
      </c>
      <c r="AN44" s="2" t="str">
        <v>per_100g</v>
      </c>
      <c r="AO44" s="2" t="str">
        <v>ACTIVE_FOR_EXACT</v>
      </c>
      <c r="AP44" s="2" t="str">
        <v>MDT按项目统一原则确认，可用于STANDARD_COMPONENT与AI_GENERATED_DISH的EXACT营养计算。</v>
      </c>
    </row>
    <row r="45">
      <c r="A45" s="2" t="str">
        <v>ING044</v>
      </c>
      <c r="B45" s="2" t="str">
        <v>草莓</v>
      </c>
      <c r="C45" s="2" t="str">
        <v>草莓[洋莓，凤阳草莓]</v>
      </c>
      <c r="D45" s="2" t="str">
        <v>水果</v>
      </c>
      <c r="E45" s="2" t="str">
        <v>水果</v>
      </c>
      <c r="F45" s="2" t="str">
        <v>S002</v>
      </c>
      <c r="G45" s="12" t="str">
        <v>CDC_EXACT</v>
      </c>
      <c r="H45" s="12" t="n">
        <v>135</v>
      </c>
      <c r="I45" s="12"/>
      <c r="J45" s="12" t="n">
        <f>IF(H45&lt;&gt;"",ROUND(H45/4.184,1),I45)</f>
        <v>32.3</v>
      </c>
      <c r="K45" s="12" t="n">
        <v>1</v>
      </c>
      <c r="L45" s="12" t="n">
        <v>7.1</v>
      </c>
      <c r="M45" s="12" t="n">
        <v>0.2</v>
      </c>
      <c r="N45" s="12" t="str">
        <v>https://nlc.chinanutri.cn/fq/foodinfo/701.html</v>
      </c>
      <c r="O45" s="14" t="str">
        <v>raw_edible_weight（烹调前可食部）</v>
      </c>
      <c r="P45" s="14" t="str">
        <v>g</v>
      </c>
      <c r="Q45" s="14" t="n">
        <v>50</v>
      </c>
      <c r="R45" s="14" t="n">
        <v>200</v>
      </c>
      <c r="S45" s="14" t="n">
        <v>10</v>
      </c>
      <c r="T45" s="14" t="str">
        <v>可食部；建议作为独立加餐时仍按全日目标重算</v>
      </c>
      <c r="U45" s="14" t="str">
        <v>家庭量可辅助说明；数据库与处方以g/ml/个为真值</v>
      </c>
      <c r="V45" s="16" t="str">
        <v>MDT确认后可作为AI_GENERATED_DISH基础原料</v>
      </c>
      <c r="W45" s="16" t="str"/>
      <c r="X45" s="16" t="str"/>
      <c r="Y45" s="16" t="str"/>
      <c r="Z45" s="16" t="str">
        <v>normal; cook-soft-if-needed</v>
      </c>
      <c r="AA45" s="16" t="str">
        <v>可用</v>
      </c>
      <c r="AB45" s="16" t="str">
        <v>条件可用</v>
      </c>
      <c r="AC45" s="16" t="str">
        <v>早饱时优先独立加餐，不挤占正餐主食/蛋白；糖代谢异常时纳入总碳水。</v>
      </c>
      <c r="AD45" s="16" t="str">
        <v>AI可提出候选克重；必须在min/max/step内执行化。任何取整、替换、配方改变后由认可营养计算源重算；患者端显示g/ml/个，不能只显示“份”。</v>
      </c>
      <c r="AE45" s="16" t="str">
        <v>ZXY项目工程候选：参考T/CNSS交换份、中国居民膳食指南的食物组范围、当前49组件base用量和家庭可执行性；不是指南直接规定的单项处方边界。</v>
      </c>
      <c r="AF45" s="16" t="str">
        <v>CDC直接条目+项目执行规则</v>
      </c>
      <c r="AG45" s="16" t="str">
        <v>常规</v>
      </c>
      <c r="AH45" s="18" t="str">
        <v>ACTIVE</v>
      </c>
      <c r="AI45" s="18" t="str">
        <v>确认</v>
      </c>
      <c r="AJ45" s="18" t="str">
        <v>MDT按项目统一原则确认，可用于STANDARD_COMPONENT与AI_GENERATED_DISH的EXACT营养计算。</v>
      </c>
      <c r="AK45" s="18" t="str"/>
      <c r="AL45" s="18"/>
      <c r="AM45" s="2" t="str">
        <f>IF(OR(A45="",B45="",G45="",O45="",P45="",Q45="",R45="",S45="",COUNT(J45:M45)&lt;4),"MISSING_FIELDS",IF(OR(G45="PRODUCT_LABEL_REQUIRED",G45="PROJECT_REFERENCE_PENDING_MDT",G45="DERIVED_PROJECT_CANDIDATE_PENDING_MDT",G45="SPECIES_MATCH_REQUIRED",G45="IDENTITY_REVIEW_REQUIRED"),"SOURCE_REVIEW_REQUIRED",IF(AH45&lt;&gt;"ACTIVE","MDT_APPROVAL_REQUIRED","READY_FOR_USE")))</f>
        <v>READY_FOR_USE</v>
      </c>
      <c r="AN45" s="2" t="str">
        <v>per_100g</v>
      </c>
      <c r="AO45" s="2" t="str">
        <v>ACTIVE_FOR_EXACT</v>
      </c>
      <c r="AP45" s="2" t="str">
        <v>MDT按项目统一原则确认，可用于STANDARD_COMPONENT与AI_GENERATED_DISH的EXACT营养计算。</v>
      </c>
    </row>
    <row r="46">
      <c r="A46" s="2" t="str">
        <v>ING045</v>
      </c>
      <c r="B46" s="2" t="str">
        <v>香蕉</v>
      </c>
      <c r="C46" s="2" t="str">
        <v>香蕉[甘蕉]</v>
      </c>
      <c r="D46" s="2" t="str">
        <v>水果</v>
      </c>
      <c r="E46" s="2" t="str">
        <v>水果</v>
      </c>
      <c r="F46" s="2" t="str">
        <v>S004</v>
      </c>
      <c r="G46" s="12" t="str">
        <v>CDC_EXACT</v>
      </c>
      <c r="H46" s="12" t="n">
        <v>394</v>
      </c>
      <c r="I46" s="12"/>
      <c r="J46" s="12" t="n">
        <f>IF(H46&lt;&gt;"",ROUND(H46/4.184,1),I46)</f>
        <v>94.2</v>
      </c>
      <c r="K46" s="12" t="n">
        <v>1.4</v>
      </c>
      <c r="L46" s="12" t="n">
        <v>22</v>
      </c>
      <c r="M46" s="12" t="n">
        <v>0.2</v>
      </c>
      <c r="N46" s="12" t="str">
        <v>https://nlc.chinanutri.cn/fq/foodinfo/726.html</v>
      </c>
      <c r="O46" s="14" t="str">
        <v>raw_edible_weight（烹调前可食部）</v>
      </c>
      <c r="P46" s="14" t="str">
        <v>g</v>
      </c>
      <c r="Q46" s="14" t="n">
        <v>50</v>
      </c>
      <c r="R46" s="14" t="n">
        <v>150</v>
      </c>
      <c r="S46" s="14" t="n">
        <v>10</v>
      </c>
      <c r="T46" s="14" t="str">
        <v>可食部</v>
      </c>
      <c r="U46" s="14" t="str">
        <v>家庭量可辅助说明；数据库与处方以g/ml/个为真值</v>
      </c>
      <c r="V46" s="16" t="str">
        <v>MDT确认后可作为AI_GENERATED_DISH基础原料</v>
      </c>
      <c r="W46" s="16" t="str"/>
      <c r="X46" s="16" t="str"/>
      <c r="Y46" s="16" t="str"/>
      <c r="Z46" s="16" t="str">
        <v>normal; cook-soft-if-needed</v>
      </c>
      <c r="AA46" s="16" t="str">
        <v>可用</v>
      </c>
      <c r="AB46" s="16" t="str">
        <v>条件可用</v>
      </c>
      <c r="AC46" s="16" t="str">
        <v>早饱时优先独立加餐，不挤占正餐主食/蛋白；糖代谢异常时纳入总碳水。</v>
      </c>
      <c r="AD46" s="16" t="str">
        <v>AI可提出候选克重；必须在min/max/step内执行化。任何取整、替换、配方改变后由认可营养计算源重算；患者端显示g/ml/个，不能只显示“份”。</v>
      </c>
      <c r="AE46" s="16" t="str">
        <v>ZXY项目工程候选：参考T/CNSS交换份、中国居民膳食指南的食物组范围、当前49组件base用量和家庭可执行性；不是指南直接规定的单项处方边界。</v>
      </c>
      <c r="AF46" s="16" t="str">
        <v>CDC直接条目+项目执行规则</v>
      </c>
      <c r="AG46" s="16" t="str">
        <v>常规</v>
      </c>
      <c r="AH46" s="18" t="str">
        <v>ACTIVE</v>
      </c>
      <c r="AI46" s="18" t="str">
        <v>确认</v>
      </c>
      <c r="AJ46" s="18" t="str">
        <v>MDT按项目统一原则确认，可用于STANDARD_COMPONENT与AI_GENERATED_DISH的EXACT营养计算。</v>
      </c>
      <c r="AK46" s="18" t="str"/>
      <c r="AL46" s="18"/>
      <c r="AM46" s="2" t="str">
        <f>IF(OR(A46="",B46="",G46="",O46="",P46="",Q46="",R46="",S46="",COUNT(J46:M46)&lt;4),"MISSING_FIELDS",IF(OR(G46="PRODUCT_LABEL_REQUIRED",G46="PROJECT_REFERENCE_PENDING_MDT",G46="DERIVED_PROJECT_CANDIDATE_PENDING_MDT",G46="SPECIES_MATCH_REQUIRED",G46="IDENTITY_REVIEW_REQUIRED"),"SOURCE_REVIEW_REQUIRED",IF(AH46&lt;&gt;"ACTIVE","MDT_APPROVAL_REQUIRED","READY_FOR_USE")))</f>
        <v>READY_FOR_USE</v>
      </c>
      <c r="AN46" s="2" t="str">
        <v>per_100g</v>
      </c>
      <c r="AO46" s="2" t="str">
        <v>ACTIVE_FOR_EXACT</v>
      </c>
      <c r="AP46" s="2" t="str">
        <v>MDT按项目统一原则确认，可用于STANDARD_COMPONENT与AI_GENERATED_DISH的EXACT营养计算。</v>
      </c>
    </row>
    <row r="47">
      <c r="A47" s="2" t="str">
        <v>ING046</v>
      </c>
      <c r="B47" s="2" t="str">
        <v>杏仁</v>
      </c>
      <c r="C47" s="2" t="str">
        <v>杏仁（中国食物成分表树坚果条目；需确认项目所指是否为该食物）</v>
      </c>
      <c r="D47" s="2" t="str">
        <v>坚果</v>
      </c>
      <c r="E47" s="2" t="str">
        <v>坚果</v>
      </c>
      <c r="F47" s="2" t="str">
        <v>S007</v>
      </c>
      <c r="G47" s="12" t="str">
        <v>IDENTITY_REVIEW_REQUIRED</v>
      </c>
      <c r="H47" s="12" t="n">
        <v>2397</v>
      </c>
      <c r="I47" s="12"/>
      <c r="J47" s="12" t="n">
        <f>IF(H47&lt;&gt;"",ROUND(H47/4.184,1),I47)</f>
        <v>572.9</v>
      </c>
      <c r="K47" s="12" t="n">
        <v>22.5</v>
      </c>
      <c r="L47" s="12" t="n">
        <v>23.9</v>
      </c>
      <c r="M47" s="12" t="n">
        <v>45.4</v>
      </c>
      <c r="N47" s="12" t="str">
        <v>https://nlc.chinanutri.cn/fq/foodinfo/752.html</v>
      </c>
      <c r="O47" s="14" t="str">
        <v>edible_kernel_weight（可食仁净重）</v>
      </c>
      <c r="P47" s="14" t="str">
        <v>g</v>
      </c>
      <c r="Q47" s="14" t="n">
        <v>5</v>
      </c>
      <c r="R47" s="14" t="n">
        <v>20</v>
      </c>
      <c r="S47" s="14" t="n">
        <v>5</v>
      </c>
      <c r="T47" s="14" t="str">
        <v>可食仁净重；过敏者禁用</v>
      </c>
      <c r="U47" s="14" t="str">
        <v>家庭量可辅助说明；数据库与处方以g/ml/个为真值</v>
      </c>
      <c r="V47" s="16" t="str">
        <v>仅结构候选；身份/品种未确认前不得用于正式精确营养闭合</v>
      </c>
      <c r="W47" s="16" t="str">
        <v>tree_nut</v>
      </c>
      <c r="X47" s="16" t="str"/>
      <c r="Y47" s="16" t="str">
        <v>lipid_review</v>
      </c>
      <c r="Z47" s="16" t="str">
        <v>normal; soft-if-needed</v>
      </c>
      <c r="AA47" s="16" t="str">
        <v>可用</v>
      </c>
      <c r="AB47" s="16" t="str">
        <v>条件推荐</v>
      </c>
      <c r="AC47" s="16" t="str">
        <v>能量密度高、体积小；咀嚼/吞咽困难或坚果过敏时不使用。</v>
      </c>
      <c r="AD47" s="16" t="str">
        <v>AI可提出候选克重；必须在min/max/step内执行化。任何取整、替换、配方改变后由认可营养计算源重算；患者端显示g/ml/个，不能只显示“份”。</v>
      </c>
      <c r="AE47" s="16" t="str">
        <v>ZXY项目工程候选：参考T/CNSS交换份、中国居民膳食指南的食物组范围、当前49组件base用量和家庭可执行性；不是指南直接规定的单项处方边界。</v>
      </c>
      <c r="AF47" s="16" t="str">
        <v>项目候选/标签/身份确认+项目执行规则</v>
      </c>
      <c r="AG47" s="16" t="str">
        <v>高</v>
      </c>
      <c r="AH47" s="18" t="str">
        <v>PENDING_MDT</v>
      </c>
      <c r="AI47" s="18" t="str">
        <v>规则确认，来源待补</v>
      </c>
      <c r="AJ47" s="18" t="str">
        <v>MDT同意重量口径及AI候选min/max/step；需补实际产品标签、精确食物条目或身份/品种确认后，方可用于EXACT计算并转ACTIVE。</v>
      </c>
      <c r="AK47" s="18" t="str"/>
      <c r="AL47" s="18"/>
      <c r="AM47" s="2" t="str">
        <f>IF(OR(A47="",B47="",G47="",O47="",P47="",Q47="",R47="",S47="",COUNT(J47:M47)&lt;4),"MISSING_FIELDS",IF(OR(G47="PRODUCT_LABEL_REQUIRED",G47="PROJECT_REFERENCE_PENDING_MDT",G47="DERIVED_PROJECT_CANDIDATE_PENDING_MDT",G47="SPECIES_MATCH_REQUIRED",G47="IDENTITY_REVIEW_REQUIRED"),"SOURCE_REVIEW_REQUIRED",IF(AH47&lt;&gt;"ACTIVE","MDT_APPROVAL_REQUIRED","READY_FOR_USE")))</f>
        <v>SOURCE_REVIEW_REQUIRED</v>
      </c>
      <c r="AN47" s="2" t="str">
        <v>per_100g</v>
      </c>
      <c r="AO47" s="2" t="str">
        <v>RULE_APPROVED_SOURCE_PENDING</v>
      </c>
      <c r="AP47" s="2" t="str">
        <v>MDT同意重量口径及AI候选min/max/step；需补实际产品标签、精确食物条目或身份/品种确认后，方可用于EXACT计算并转ACTIVE。</v>
      </c>
    </row>
    <row r="48">
      <c r="A48" s="2" t="str">
        <v>ING047</v>
      </c>
      <c r="B48" s="2" t="str">
        <v>核桃</v>
      </c>
      <c r="C48" s="2" t="str">
        <v>核桃(干)[胡桃]</v>
      </c>
      <c r="D48" s="2" t="str">
        <v>坚果</v>
      </c>
      <c r="E48" s="2" t="str">
        <v>坚果</v>
      </c>
      <c r="F48" s="2" t="str">
        <v>S005</v>
      </c>
      <c r="G48" s="12" t="str">
        <v>CDC_EXACT</v>
      </c>
      <c r="H48" s="12" t="n">
        <v>2668</v>
      </c>
      <c r="I48" s="12"/>
      <c r="J48" s="12" t="n">
        <f>IF(H48&lt;&gt;"",ROUND(H48/4.184,1),I48)</f>
        <v>637.7</v>
      </c>
      <c r="K48" s="12" t="n">
        <v>14.9</v>
      </c>
      <c r="L48" s="12" t="n">
        <v>19.1</v>
      </c>
      <c r="M48" s="12" t="n">
        <v>58.8</v>
      </c>
      <c r="N48" s="12" t="str">
        <v>https://nlc.chinanutri.cn/fq/foodinfo/743.html</v>
      </c>
      <c r="O48" s="14" t="str">
        <v>edible_kernel_weight</v>
      </c>
      <c r="P48" s="14" t="str">
        <v>g</v>
      </c>
      <c r="Q48" s="14" t="n">
        <v>5</v>
      </c>
      <c r="R48" s="14" t="n">
        <v>20</v>
      </c>
      <c r="S48" s="14" t="n">
        <v>5</v>
      </c>
      <c r="T48" s="14" t="str">
        <v>可食仁净重；过敏者禁用</v>
      </c>
      <c r="U48" s="14" t="str">
        <v>家庭量可辅助说明；数据库与处方以g/ml/个为真值</v>
      </c>
      <c r="V48" s="16" t="str">
        <v>MDT确认后可作为AI_GENERATED_DISH基础原料</v>
      </c>
      <c r="W48" s="16" t="str">
        <v>tree_nut</v>
      </c>
      <c r="X48" s="16" t="str"/>
      <c r="Y48" s="16" t="str">
        <v>lipid_review</v>
      </c>
      <c r="Z48" s="16" t="str">
        <v>normal; soft-if-needed</v>
      </c>
      <c r="AA48" s="16" t="str">
        <v>可用</v>
      </c>
      <c r="AB48" s="16" t="str">
        <v>条件推荐</v>
      </c>
      <c r="AC48" s="16" t="str">
        <v>能量密度高、体积小；咀嚼/吞咽困难或坚果过敏时不使用。</v>
      </c>
      <c r="AD48" s="16" t="str">
        <v>AI可提出候选克重；必须在min/max/step内执行化。任何取整、替换、配方改变后由认可营养计算源重算；患者端显示g/ml/个，不能只显示“份”。</v>
      </c>
      <c r="AE48" s="16" t="str">
        <v>ZXY项目工程候选：参考T/CNSS交换份、中国居民膳食指南的食物组范围、当前49组件base用量和家庭可执行性；不是指南直接规定的单项处方边界。</v>
      </c>
      <c r="AF48" s="16" t="str">
        <v>CDC直接条目+项目执行规则</v>
      </c>
      <c r="AG48" s="16" t="str">
        <v>常规</v>
      </c>
      <c r="AH48" s="18" t="str">
        <v>ACTIVE</v>
      </c>
      <c r="AI48" s="18" t="str">
        <v>确认</v>
      </c>
      <c r="AJ48" s="18" t="str">
        <v>MDT按项目统一原则确认，可用于STANDARD_COMPONENT与AI_GENERATED_DISH的EXACT营养计算。</v>
      </c>
      <c r="AK48" s="18" t="str"/>
      <c r="AL48" s="18"/>
      <c r="AM48" s="2" t="str">
        <f>IF(OR(A48="",B48="",G48="",O48="",P48="",Q48="",R48="",S48="",COUNT(J48:M48)&lt;4),"MISSING_FIELDS",IF(OR(G48="PRODUCT_LABEL_REQUIRED",G48="PROJECT_REFERENCE_PENDING_MDT",G48="DERIVED_PROJECT_CANDIDATE_PENDING_MDT",G48="SPECIES_MATCH_REQUIRED",G48="IDENTITY_REVIEW_REQUIRED"),"SOURCE_REVIEW_REQUIRED",IF(AH48&lt;&gt;"ACTIVE","MDT_APPROVAL_REQUIRED","READY_FOR_USE")))</f>
        <v>READY_FOR_USE</v>
      </c>
      <c r="AN48" s="2" t="str">
        <v>per_100g</v>
      </c>
      <c r="AO48" s="2" t="str">
        <v>ACTIVE_FOR_EXACT</v>
      </c>
      <c r="AP48" s="2" t="str">
        <v>MDT按项目统一原则确认，可用于STANDARD_COMPONENT与AI_GENERATED_DISH的EXACT营养计算。</v>
      </c>
    </row>
    <row r="49">
      <c r="A49" s="2" t="str">
        <v>ING048</v>
      </c>
      <c r="B49" s="2" t="str">
        <v>植物油</v>
      </c>
      <c r="C49" s="2" t="str">
        <v>植物油通用宏量营养候选（油种需另记录）</v>
      </c>
      <c r="D49" s="2" t="str">
        <v>烹调脂肪</v>
      </c>
      <c r="E49" s="2" t="str">
        <v>植物油</v>
      </c>
      <c r="F49" s="2" t="str">
        <v>P001,P002,P003,P004,P005,P006,P007,P008,P009,P010,P011,P012,P013,P014,V001,V002,V003,V004,V005,V006,V007,V008,V009,V010,V011,V012</v>
      </c>
      <c r="G49" s="12" t="str">
        <v>STANDARD_DERIVED_GENERIC</v>
      </c>
      <c r="H49" s="12"/>
      <c r="I49" s="12" t="n">
        <v>900</v>
      </c>
      <c r="J49" s="12" t="n">
        <f>IF(H49&lt;&gt;"",ROUND(H49/4.184,1),I49)</f>
        <v>900</v>
      </c>
      <c r="K49" s="12" t="n">
        <v>0</v>
      </c>
      <c r="L49" s="12" t="n">
        <v>0</v>
      </c>
      <c r="M49" s="12" t="n">
        <v>100</v>
      </c>
      <c r="N49" s="12" t="str">
        <v>https://www.cnssci.net/uploads/allimg/20240607/1-24060G41PM29.pdf</v>
      </c>
      <c r="O49" s="14" t="str">
        <v>added_weight（实际加入量）</v>
      </c>
      <c r="P49" s="14" t="str">
        <v>g</v>
      </c>
      <c r="Q49" s="14" t="n">
        <v>1</v>
      </c>
      <c r="R49" s="14" t="n">
        <v>10</v>
      </c>
      <c r="S49" s="14" t="n">
        <v>1</v>
      </c>
      <c r="T49" s="14" t="str">
        <v>单道菜实际加入量候选；每日总油量由全日方案控制，不等同单菜上限</v>
      </c>
      <c r="U49" s="14" t="str">
        <v>家庭量可辅助说明；数据库与处方以g/ml/个为真值</v>
      </c>
      <c r="V49" s="16" t="str">
        <v>可作为宏量营养候选；油种/脂肪酸细分需另记录</v>
      </c>
      <c r="W49" s="16" t="str"/>
      <c r="X49" s="16" t="str"/>
      <c r="Y49" s="16" t="str">
        <v>lipid_review</v>
      </c>
      <c r="Z49" s="16" t="str">
        <v>normal; cook-soft-if-needed</v>
      </c>
      <c r="AA49" s="16" t="str">
        <v>可用</v>
      </c>
      <c r="AB49" s="16" t="str">
        <v>可用</v>
      </c>
      <c r="AC49" s="16" t="str">
        <v>可用于提高能量密度，但应纳入全日能量/脂肪及胃肠耐受管理。</v>
      </c>
      <c r="AD49" s="16" t="str">
        <v>AI可提出候选克重；必须在min/max/step内执行化。任何取整、替换、配方改变后由认可营养计算源重算；患者端显示g/ml/个，不能只显示“份”。</v>
      </c>
      <c r="AE49" s="16" t="str">
        <v>ZXY项目工程候选：参考T/CNSS交换份、中国居民膳食指南的食物组范围、当前49组件base用量和家庭可执行性；不是指南直接规定的单项处方边界。</v>
      </c>
      <c r="AF49" s="16" t="str">
        <v>项目候选/标签/身份确认+项目执行规则</v>
      </c>
      <c r="AG49" s="16" t="str">
        <v>中</v>
      </c>
      <c r="AH49" s="18" t="str">
        <v>ACTIVE</v>
      </c>
      <c r="AI49" s="18" t="str">
        <v>确认</v>
      </c>
      <c r="AJ49" s="18" t="str">
        <v>MDT同意用于宏量营养与执行边界；若后续需要脂肪酸构成等精细分析，应记录具体油种。</v>
      </c>
      <c r="AK49" s="18" t="str"/>
      <c r="AL49" s="18"/>
      <c r="AM49" s="2" t="str">
        <f>IF(OR(A49="",B49="",G49="",O49="",P49="",Q49="",R49="",S49="",COUNT(J49:M49)&lt;4),"MISSING_FIELDS",IF(OR(G49="PRODUCT_LABEL_REQUIRED",G49="PROJECT_REFERENCE_PENDING_MDT",G49="DERIVED_PROJECT_CANDIDATE_PENDING_MDT",G49="SPECIES_MATCH_REQUIRED",G49="IDENTITY_REVIEW_REQUIRED"),"SOURCE_REVIEW_REQUIRED",IF(AH49&lt;&gt;"ACTIVE","MDT_APPROVAL_REQUIRED","READY_FOR_USE")))</f>
        <v>READY_FOR_USE</v>
      </c>
      <c r="AN49" s="2" t="str">
        <v>per_100g</v>
      </c>
      <c r="AO49" s="2" t="str">
        <v>ACTIVE_FOR_EXACT</v>
      </c>
      <c r="AP49" s="2" t="str">
        <v>MDT同意用于宏量营养与执行边界；若后续需要脂肪酸构成等精细分析，应记录具体油种。</v>
      </c>
    </row>
  </sheetData>
  <conditionalFormatting sqref="AG2:AG49">
    <cfRule type="expression" dxfId="0" priority="1">
      <formula>AG2="高"</formula>
    </cfRule>
  </conditionalFormatting>
  <conditionalFormatting sqref="AM2:AM49">
    <cfRule type="expression" dxfId="1" priority="2">
      <formula>AM2="REVIEW_REQUIRED"</formula>
    </cfRule>
  </conditionalFormatting>
  <dataValidations count="3">
    <dataValidation type="list" sqref="AH2:AH49">
      <formula1>"PENDING_MDT,ACTIVE,RETIRED,UNVERIFIED"</formula1>
    </dataValidation>
    <dataValidation type="list" sqref="AI2:AI49">
      <formula1>"待审核,确认,修改后确认,规则确认，来源待补,不采用"</formula1>
    </dataValidation>
    <dataValidation type="list" sqref="AG2:AG49">
      <formula1>"高,中,常规"</formula1>
    </dataValidation>
  </dataValidations>
  <pageMargins left="0.7" right="0.7" top="0.75" bottom="0.75" header="0.3" footer="0.3"/>
  <tableParts count="1">
    <tablePart ns1:id="Rcec33d5283cb4374"/>
  </tableParts>
</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2" hidden="0" customWidth="1"/>
    <x:col min="4" max="4" width="16" hidden="0" customWidth="1"/>
    <x:col min="5" max="5" width="12" hidden="0" customWidth="1"/>
    <x:col min="6" max="6" width="10" hidden="0" customWidth="1"/>
    <x:col min="7" max="7" width="34" hidden="0" customWidth="1"/>
    <x:col min="8" max="8" width="28" hidden="0" customWidth="1"/>
    <x:col min="9" max="9" width="48" hidden="0" customWidth="1"/>
    <x:col min="10" max="10" width="45" hidden="0" customWidth="1"/>
  </x:cols>
  <x:sheetData>
    <x:row r="1">
      <x:c r="A1" s="7" t="str">
        <x:v>component_id</x:v>
      </x:c>
      <x:c r="B1" s="7" t="str">
        <x:v>component_name</x:v>
      </x:c>
      <x:c r="C1" s="7" t="str">
        <x:v>ingredient_id</x:v>
      </x:c>
      <x:c r="D1" s="7" t="str">
        <x:v>ingredient_name</x:v>
      </x:c>
      <x:c r="E1" s="7" t="str">
        <x:v>base_amount</x:v>
      </x:c>
      <x:c r="F1" s="7" t="str">
        <x:v>base_unit</x:v>
      </x:c>
      <x:c r="G1" s="7" t="str">
        <x:v>Ingredient_Master_weight_basis</x:v>
      </x:c>
      <x:c r="H1" s="7" t="str">
        <x:v>nutrition_source_status</x:v>
      </x:c>
      <x:c r="I1" s="7" t="str">
        <x:v>source_url</x:v>
      </x:c>
      <x:c r="J1" s="7" t="str">
        <x:v>mapping_note</x:v>
      </x:c>
    </x:row>
    <x:row r="2">
      <x:c r="A2" s="2" t="str">
        <x:v>C001</x:v>
      </x:c>
      <x:c r="B2" s="2" t="str">
        <x:v>白米饭</x:v>
      </x:c>
      <x:c r="C2" s="2" t="str">
        <x:v>ING003</x:v>
      </x:c>
      <x:c r="D2" s="2" t="str">
        <x:v>大米</x:v>
      </x:c>
      <x:c r="E2" s="2" t="n">
        <x:v>50</x:v>
      </x:c>
      <x:c r="F2" s="2" t="str">
        <x:v>g</x:v>
      </x:c>
      <x:c r="G2" s="2" t="str">
        <x:v>dry_weight（干/生重）</x:v>
      </x:c>
      <x:c r="H2" s="2" t="str">
        <x:v>CDC_EXACT</x:v>
      </x:c>
      <x:c r="I2" s="2" t="str">
        <x:v>https://nlc.chinanutri.cn/fq/foodinfo/281.html</x:v>
      </x:c>
      <x:c r="J2" s="2" t="str"/>
    </x:row>
    <x:row r="3">
      <x:c r="A3" s="2" t="str">
        <x:v>C002</x:v>
      </x:c>
      <x:c r="B3" s="2" t="str">
        <x:v>糙米饭</x:v>
      </x:c>
      <x:c r="C3" s="2" t="str">
        <x:v>ING008</x:v>
      </x:c>
      <x:c r="D3" s="2" t="str">
        <x:v>糙米</x:v>
      </x:c>
      <x:c r="E3" s="2" t="n">
        <x:v>50</x:v>
      </x:c>
      <x:c r="F3" s="2" t="str">
        <x:v>g</x:v>
      </x:c>
      <x:c r="G3" s="2" t="str">
        <x:v>dry_weight（干/生重）</x:v>
      </x:c>
      <x:c r="H3" s="2" t="str">
        <x:v>PROJECT_REFERENCE_PENDING_MDT</x:v>
      </x:c>
      <x:c r="I3" s="2" t="str">
        <x:v>https://nlc.chinanutri.cn/fq/</x:v>
      </x:c>
      <x:c r="J3" s="2" t="str"/>
    </x:row>
    <x:row r="4">
      <x:c r="A4" s="2" t="str">
        <x:v>C003</x:v>
      </x:c>
      <x:c r="B4" s="2" t="str">
        <x:v>杂粮饭</x:v>
      </x:c>
      <x:c r="C4" s="2" t="str">
        <x:v>ING003</x:v>
      </x:c>
      <x:c r="D4" s="2" t="str">
        <x:v>大米</x:v>
      </x:c>
      <x:c r="E4" s="2" t="n">
        <x:v>35</x:v>
      </x:c>
      <x:c r="F4" s="2" t="str">
        <x:v>g</x:v>
      </x:c>
      <x:c r="G4" s="2" t="str">
        <x:v>dry_weight（干/生重）</x:v>
      </x:c>
      <x:c r="H4" s="2" t="str">
        <x:v>CDC_EXACT</x:v>
      </x:c>
      <x:c r="I4" s="2" t="str">
        <x:v>https://nlc.chinanutri.cn/fq/foodinfo/281.html</x:v>
      </x:c>
      <x:c r="J4" s="2" t="str"/>
    </x:row>
    <x:row r="5">
      <x:c r="A5" s="2" t="str">
        <x:v>C003</x:v>
      </x:c>
      <x:c r="B5" s="2" t="str">
        <x:v>杂粮饭</x:v>
      </x:c>
      <x:c r="C5" s="2" t="str">
        <x:v>ING008</x:v>
      </x:c>
      <x:c r="D5" s="2" t="str">
        <x:v>糙米</x:v>
      </x:c>
      <x:c r="E5" s="2" t="n">
        <x:v>15</x:v>
      </x:c>
      <x:c r="F5" s="2" t="str">
        <x:v>g</x:v>
      </x:c>
      <x:c r="G5" s="2" t="str">
        <x:v>dry_weight（干/生重）</x:v>
      </x:c>
      <x:c r="H5" s="2" t="str">
        <x:v>PROJECT_REFERENCE_PENDING_MDT</x:v>
      </x:c>
      <x:c r="I5" s="2" t="str">
        <x:v>https://nlc.chinanutri.cn/fq/</x:v>
      </x:c>
      <x:c r="J5" s="2" t="str"/>
    </x:row>
    <x:row r="6">
      <x:c r="A6" s="2" t="str">
        <x:v>C003</x:v>
      </x:c>
      <x:c r="B6" s="2" t="str">
        <x:v>杂粮饭</x:v>
      </x:c>
      <x:c r="C6" s="2" t="str">
        <x:v>ING011</x:v>
      </x:c>
      <x:c r="D6" s="2" t="str">
        <x:v>赤小豆干</x:v>
      </x:c>
      <x:c r="E6" s="2" t="n">
        <x:v>10</x:v>
      </x:c>
      <x:c r="F6" s="2" t="str">
        <x:v>g</x:v>
      </x:c>
      <x:c r="G6" s="2" t="str">
        <x:v>dry_weight（干/生重）</x:v>
      </x:c>
      <x:c r="H6" s="2" t="str">
        <x:v>CDC_EXACT</x:v>
      </x:c>
      <x:c r="I6" s="2" t="str">
        <x:v>https://nlc.chinanutri.cn/fq/foodinfo/351.html</x:v>
      </x:c>
      <x:c r="J6" s="2" t="str"/>
    </x:row>
    <x:row r="7">
      <x:c r="A7" s="2" t="str">
        <x:v>C004</x:v>
      </x:c>
      <x:c r="B7" s="2" t="str">
        <x:v>燕麦早餐份</x:v>
      </x:c>
      <x:c r="C7" s="2" t="str">
        <x:v>ING006</x:v>
      </x:c>
      <x:c r="D7" s="2" t="str">
        <x:v>燕麦片</x:v>
      </x:c>
      <x:c r="E7" s="2" t="n">
        <x:v>40</x:v>
      </x:c>
      <x:c r="F7" s="2" t="str">
        <x:v>g</x:v>
      </x:c>
      <x:c r="G7" s="2" t="str">
        <x:v>dry_weight（干/生重）</x:v>
      </x:c>
      <x:c r="H7" s="2" t="str">
        <x:v>CDC_EXACT</x:v>
      </x:c>
      <x:c r="I7" s="2" t="str">
        <x:v>https://nlc.chinanutri.cn/fq/foodinfo/1274.html</x:v>
      </x:c>
      <x:c r="J7" s="2" t="str"/>
    </x:row>
    <x:row r="8">
      <x:c r="A8" s="2" t="str">
        <x:v>C005</x:v>
      </x:c>
      <x:c r="B8" s="2" t="str">
        <x:v>全麦馒头</x:v>
      </x:c>
      <x:c r="C8" s="2" t="str">
        <x:v>ING002</x:v>
      </x:c>
      <x:c r="D8" s="2" t="str">
        <x:v>全麦面粉</x:v>
      </x:c>
      <x:c r="E8" s="2" t="n">
        <x:v>60</x:v>
      </x:c>
      <x:c r="F8" s="2" t="str">
        <x:v>g</x:v>
      </x:c>
      <x:c r="G8" s="2" t="str">
        <x:v>dry_weight（干/生重）</x:v>
      </x:c>
      <x:c r="H8" s="2" t="str">
        <x:v>PROJECT_REFERENCE_PENDING_MDT</x:v>
      </x:c>
      <x:c r="I8" s="2" t="str">
        <x:v>https://nlc.chinanutri.cn/fq/</x:v>
      </x:c>
      <x:c r="J8" s="2" t="str"/>
    </x:row>
    <x:row r="9">
      <x:c r="A9" s="2" t="str">
        <x:v>C006</x:v>
      </x:c>
      <x:c r="B9" s="2" t="str">
        <x:v>鲜玉米</x:v>
      </x:c>
      <x:c r="C9" s="2" t="str">
        <x:v>ING007</x:v>
      </x:c>
      <x:c r="D9" s="2" t="str">
        <x:v>玉米鲜</x:v>
      </x:c>
      <x:c r="E9" s="2" t="n">
        <x:v>150</x:v>
      </x:c>
      <x:c r="F9" s="2" t="str">
        <x:v>g</x:v>
      </x:c>
      <x:c r="G9" s="2" t="str">
        <x:v>raw_edible_weight（烹调前可食部）</x:v>
      </x:c>
      <x:c r="H9" s="2" t="str">
        <x:v>CDC_EXACT</x:v>
      </x:c>
      <x:c r="I9" s="2" t="str">
        <x:v>https://nlc.chinanutri.cn/fq/foodinfo/292.html</x:v>
      </x:c>
      <x:c r="J9" s="2" t="str"/>
    </x:row>
    <x:row r="10">
      <x:c r="A10" s="2" t="str">
        <x:v>C007</x:v>
      </x:c>
      <x:c r="B10" s="2" t="str">
        <x:v>蒸红薯</x:v>
      </x:c>
      <x:c r="C10" s="2" t="str">
        <x:v>ING009</x:v>
      </x:c>
      <x:c r="D10" s="2" t="str">
        <x:v>红薯</x:v>
      </x:c>
      <x:c r="E10" s="2" t="n">
        <x:v>150</x:v>
      </x:c>
      <x:c r="F10" s="2" t="str">
        <x:v>g</x:v>
      </x:c>
      <x:c r="G10" s="2" t="str">
        <x:v>raw_edible_weight（烹调前可食部）</x:v>
      </x:c>
      <x:c r="H10" s="2" t="str">
        <x:v>CDC_EXACT</x:v>
      </x:c>
      <x:c r="I10" s="2" t="str">
        <x:v>https://nlc.chinanutri.cn/fq/foodinfo/316.html</x:v>
      </x:c>
      <x:c r="J10" s="2" t="str"/>
    </x:row>
    <x:row r="11">
      <x:c r="A11" s="2" t="str">
        <x:v>C008</x:v>
      </x:c>
      <x:c r="B11" s="2" t="str">
        <x:v>荞麦面</x:v>
      </x:c>
      <x:c r="C11" s="2" t="str">
        <x:v>ING010</x:v>
      </x:c>
      <x:c r="D11" s="2" t="str">
        <x:v>荞麦面干</x:v>
      </x:c>
      <x:c r="E11" s="2" t="n">
        <x:v>60</x:v>
      </x:c>
      <x:c r="F11" s="2" t="str">
        <x:v>g</x:v>
      </x:c>
      <x:c r="G11" s="2" t="str">
        <x:v>dry_weight（干/生重）</x:v>
      </x:c>
      <x:c r="H11" s="2" t="str">
        <x:v>PROJECT_REFERENCE_PENDING_MDT</x:v>
      </x:c>
      <x:c r="I11" s="2" t="str">
        <x:v>https://nlc.chinanutri.cn/fq/</x:v>
      </x:c>
      <x:c r="J11" s="2" t="str"/>
    </x:row>
    <x:row r="12">
      <x:c r="A12" s="2" t="str">
        <x:v>C009</x:v>
      </x:c>
      <x:c r="B12" s="2" t="str">
        <x:v>小米粥</x:v>
      </x:c>
      <x:c r="C12" s="2" t="str">
        <x:v>ING004</x:v>
      </x:c>
      <x:c r="D12" s="2" t="str">
        <x:v>小米</x:v>
      </x:c>
      <x:c r="E12" s="2" t="n">
        <x:v>40</x:v>
      </x:c>
      <x:c r="F12" s="2" t="str">
        <x:v>g</x:v>
      </x:c>
      <x:c r="G12" s="2" t="str">
        <x:v>dry_weight（干/生重）</x:v>
      </x:c>
      <x:c r="H12" s="2" t="str">
        <x:v>CDC_EXACT</x:v>
      </x:c>
      <x:c r="I12" s="2" t="str">
        <x:v>https://nlc.chinanutri.cn/fq/foodinfo/301.html</x:v>
      </x:c>
      <x:c r="J12" s="2" t="str"/>
    </x:row>
    <x:row r="13">
      <x:c r="A13" s="2" t="str">
        <x:v>C010</x:v>
      </x:c>
      <x:c r="B13" s="2" t="str">
        <x:v>红豆小米粥</x:v>
      </x:c>
      <x:c r="C13" s="2" t="str">
        <x:v>ING004</x:v>
      </x:c>
      <x:c r="D13" s="2" t="str">
        <x:v>小米</x:v>
      </x:c>
      <x:c r="E13" s="2" t="n">
        <x:v>30</x:v>
      </x:c>
      <x:c r="F13" s="2" t="str">
        <x:v>g</x:v>
      </x:c>
      <x:c r="G13" s="2" t="str">
        <x:v>dry_weight（干/生重）</x:v>
      </x:c>
      <x:c r="H13" s="2" t="str">
        <x:v>CDC_EXACT</x:v>
      </x:c>
      <x:c r="I13" s="2" t="str">
        <x:v>https://nlc.chinanutri.cn/fq/foodinfo/301.html</x:v>
      </x:c>
      <x:c r="J13" s="2" t="str"/>
    </x:row>
    <x:row r="14">
      <x:c r="A14" s="2" t="str">
        <x:v>C010</x:v>
      </x:c>
      <x:c r="B14" s="2" t="str">
        <x:v>红豆小米粥</x:v>
      </x:c>
      <x:c r="C14" s="2" t="str">
        <x:v>ING011</x:v>
      </x:c>
      <x:c r="D14" s="2" t="str">
        <x:v>赤小豆干</x:v>
      </x:c>
      <x:c r="E14" s="2" t="n">
        <x:v>10</x:v>
      </x:c>
      <x:c r="F14" s="2" t="str">
        <x:v>g</x:v>
      </x:c>
      <x:c r="G14" s="2" t="str">
        <x:v>dry_weight（干/生重）</x:v>
      </x:c>
      <x:c r="H14" s="2" t="str">
        <x:v>CDC_EXACT</x:v>
      </x:c>
      <x:c r="I14" s="2" t="str">
        <x:v>https://nlc.chinanutri.cn/fq/foodinfo/351.html</x:v>
      </x:c>
      <x:c r="J14" s="2" t="str"/>
    </x:row>
    <x:row r="15">
      <x:c r="A15" s="2" t="str">
        <x:v>C011</x:v>
      </x:c>
      <x:c r="B15" s="2" t="str">
        <x:v>全麦面包</x:v>
      </x:c>
      <x:c r="C15" s="2" t="str">
        <x:v>ING001</x:v>
      </x:c>
      <x:c r="D15" s="2" t="str">
        <x:v>全麦面包</x:v>
      </x:c>
      <x:c r="E15" s="2" t="n">
        <x:v>70</x:v>
      </x:c>
      <x:c r="F15" s="2" t="str">
        <x:v>g</x:v>
      </x:c>
      <x:c r="G15" s="2" t="str">
        <x:v>ready_to_eat_net_weight（成品净重）</x:v>
      </x:c>
      <x:c r="H15" s="2" t="str">
        <x:v>PRODUCT_LABEL_REQUIRED</x:v>
      </x:c>
      <x:c r="I15" s="2" t="str">
        <x:v>https://nlc.chinanutri.cn/fq/</x:v>
      </x:c>
      <x:c r="J15" s="2" t="str">
        <x:v>精确营养计算应优先使用实际产品标签。</x:v>
      </x:c>
    </x:row>
    <x:row r="16">
      <x:c r="A16" s="2" t="str">
        <x:v>C012</x:v>
      </x:c>
      <x:c r="B16" s="2" t="str">
        <x:v>山药主食份</x:v>
      </x:c>
      <x:c r="C16" s="2" t="str">
        <x:v>ING005</x:v>
      </x:c>
      <x:c r="D16" s="2" t="str">
        <x:v>山药</x:v>
      </x:c>
      <x:c r="E16" s="2" t="n">
        <x:v>200</x:v>
      </x:c>
      <x:c r="F16" s="2" t="str">
        <x:v>g</x:v>
      </x:c>
      <x:c r="G16" s="2" t="str">
        <x:v>raw_edible_weight（烹调前可食部）</x:v>
      </x:c>
      <x:c r="H16" s="2" t="str">
        <x:v>CDC_EXACT</x:v>
      </x:c>
      <x:c r="I16" s="2" t="str">
        <x:v>https://nlc.chinanutri.cn/fq/foodinfo/525.html</x:v>
      </x:c>
      <x:c r="J16" s="2" t="str"/>
    </x:row>
    <x:row r="17">
      <x:c r="A17" s="2" t="str">
        <x:v>P001</x:v>
      </x:c>
      <x:c r="B17" s="2" t="str">
        <x:v>清蒸鲈鱼</x:v>
      </x:c>
      <x:c r="C17" s="2" t="str">
        <x:v>ING015</x:v>
      </x:c>
      <x:c r="D17" s="2" t="str">
        <x:v>鲈鱼</x:v>
      </x:c>
      <x:c r="E17" s="2" t="n">
        <x:v>100</x:v>
      </x:c>
      <x:c r="F17" s="2" t="str">
        <x:v>g</x:v>
      </x:c>
      <x:c r="G17" s="2" t="str">
        <x:v>raw_edible_weight（烹调前可食部）</x:v>
      </x:c>
      <x:c r="H17" s="2" t="str">
        <x:v>CDC_EXACT</x:v>
      </x:c>
      <x:c r="I17" s="2" t="str">
        <x:v>https://nlc.chinanutri.cn/fq/foodinfo/1050.html</x:v>
      </x:c>
      <x:c r="J17" s="2" t="str"/>
    </x:row>
    <x:row r="18">
      <x:c r="A18" s="2" t="str">
        <x:v>P001</x:v>
      </x:c>
      <x:c r="B18" s="2" t="str">
        <x:v>清蒸鲈鱼</x:v>
      </x:c>
      <x:c r="C18" s="2" t="str">
        <x:v>ING048</x:v>
      </x:c>
      <x:c r="D18" s="2" t="str">
        <x:v>植物油</x:v>
      </x:c>
      <x:c r="E18" s="2" t="n">
        <x:v>3</x:v>
      </x:c>
      <x:c r="F18" s="2" t="str">
        <x:v>g</x:v>
      </x:c>
      <x:c r="G18" s="2" t="str">
        <x:v>added_weight（实际加入量）</x:v>
      </x:c>
      <x:c r="H18" s="2" t="str">
        <x:v>STANDARD_DERIVED_GENERIC</x:v>
      </x:c>
      <x:c r="I18" s="2" t="str">
        <x:v>https://www.cnssci.net/uploads/allimg/20240607/1-24060G41PM29.pdf</x:v>
      </x:c>
      <x:c r="J18" s="2" t="str"/>
    </x:row>
    <x:row r="19">
      <x:c r="A19" s="2" t="str">
        <x:v>P002</x:v>
      </x:c>
      <x:c r="B19" s="2" t="str">
        <x:v>清蒸鳕鱼</x:v>
      </x:c>
      <x:c r="C19" s="2" t="str">
        <x:v>ING016</x:v>
      </x:c>
      <x:c r="D19" s="2" t="str">
        <x:v>鳕鱼</x:v>
      </x:c>
      <x:c r="E19" s="2" t="n">
        <x:v>100</x:v>
      </x:c>
      <x:c r="F19" s="2" t="str">
        <x:v>g</x:v>
      </x:c>
      <x:c r="G19" s="2" t="str">
        <x:v>raw_edible_weight（烹调前可食部）</x:v>
      </x:c>
      <x:c r="H19" s="2" t="str">
        <x:v>CDC_EXACT</x:v>
      </x:c>
      <x:c r="I19" s="2" t="str">
        <x:v>https://nlc.chinanutri.cn/fq/foodinfo/1062.html</x:v>
      </x:c>
      <x:c r="J19" s="2" t="str"/>
    </x:row>
    <x:row r="20">
      <x:c r="A20" s="2" t="str">
        <x:v>P002</x:v>
      </x:c>
      <x:c r="B20" s="2" t="str">
        <x:v>清蒸鳕鱼</x:v>
      </x:c>
      <x:c r="C20" s="2" t="str">
        <x:v>ING048</x:v>
      </x:c>
      <x:c r="D20" s="2" t="str">
        <x:v>植物油</x:v>
      </x:c>
      <x:c r="E20" s="2" t="n">
        <x:v>3</x:v>
      </x:c>
      <x:c r="F20" s="2" t="str">
        <x:v>g</x:v>
      </x:c>
      <x:c r="G20" s="2" t="str">
        <x:v>added_weight（实际加入量）</x:v>
      </x:c>
      <x:c r="H20" s="2" t="str">
        <x:v>STANDARD_DERIVED_GENERIC</x:v>
      </x:c>
      <x:c r="I20" s="2" t="str">
        <x:v>https://www.cnssci.net/uploads/allimg/20240607/1-24060G41PM29.pdf</x:v>
      </x:c>
      <x:c r="J20" s="2" t="str"/>
    </x:row>
    <x:row r="21">
      <x:c r="A21" s="2" t="str">
        <x:v>P003</x:v>
      </x:c>
      <x:c r="B21" s="2" t="str">
        <x:v>香草/葱姜鸡胸</x:v>
      </x:c>
      <x:c r="C21" s="2" t="str">
        <x:v>ING017</x:v>
      </x:c>
      <x:c r="D21" s="2" t="str">
        <x:v>鸡胸肉</x:v>
      </x:c>
      <x:c r="E21" s="2" t="n">
        <x:v>100</x:v>
      </x:c>
      <x:c r="F21" s="2" t="str">
        <x:v>g</x:v>
      </x:c>
      <x:c r="G21" s="2" t="str">
        <x:v>raw_edible_weight（烹调前可食部）</x:v>
      </x:c>
      <x:c r="H21" s="2" t="str">
        <x:v>CDC_EXACT</x:v>
      </x:c>
      <x:c r="I21" s="2" t="str">
        <x:v>https://nlc.chinanutri.cn/fq/foodinfo/880.html</x:v>
      </x:c>
      <x:c r="J21" s="2" t="str"/>
    </x:row>
    <x:row r="22">
      <x:c r="A22" s="2" t="str">
        <x:v>P003</x:v>
      </x:c>
      <x:c r="B22" s="2" t="str">
        <x:v>香草/葱姜鸡胸</x:v>
      </x:c>
      <x:c r="C22" s="2" t="str">
        <x:v>ING048</x:v>
      </x:c>
      <x:c r="D22" s="2" t="str">
        <x:v>植物油</x:v>
      </x:c>
      <x:c r="E22" s="2" t="n">
        <x:v>5</x:v>
      </x:c>
      <x:c r="F22" s="2" t="str">
        <x:v>g</x:v>
      </x:c>
      <x:c r="G22" s="2" t="str">
        <x:v>added_weight（实际加入量）</x:v>
      </x:c>
      <x:c r="H22" s="2" t="str">
        <x:v>STANDARD_DERIVED_GENERIC</x:v>
      </x:c>
      <x:c r="I22" s="2" t="str">
        <x:v>https://www.cnssci.net/uploads/allimg/20240607/1-24060G41PM29.pdf</x:v>
      </x:c>
      <x:c r="J22" s="2" t="str"/>
    </x:row>
    <x:row r="23">
      <x:c r="A23" s="2" t="str">
        <x:v>P004</x:v>
      </x:c>
      <x:c r="B23" s="2" t="str">
        <x:v>去皮鸡腿肉炖菇</x:v>
      </x:c>
      <x:c r="C23" s="2" t="str">
        <x:v>ING018</x:v>
      </x:c>
      <x:c r="D23" s="2" t="str">
        <x:v>鸡腿肉去皮</x:v>
      </x:c>
      <x:c r="E23" s="2" t="n">
        <x:v>100</x:v>
      </x:c>
      <x:c r="F23" s="2" t="str">
        <x:v>g</x:v>
      </x:c>
      <x:c r="G23" s="2" t="str">
        <x:v>raw_edible_weight（烹调前可食部）</x:v>
      </x:c>
      <x:c r="H23" s="2" t="str">
        <x:v>DERIVED_PROJECT_CANDIDATE_PENDING_MDT</x:v>
      </x:c>
      <x:c r="I23" s="2" t="str">
        <x:v>https://nlc.chinanutri.cn/fq/foodinfo/882.html</x:v>
      </x:c>
      <x:c r="J23" s="2" t="str">
        <x:v>现有CDC鸡腿条目不是去皮精确匹配；本行需MDT确认营养源。</x:v>
      </x:c>
    </x:row>
    <x:row r="24">
      <x:c r="A24" s="2" t="str">
        <x:v>P004</x:v>
      </x:c>
      <x:c r="B24" s="2" t="str">
        <x:v>去皮鸡腿肉炖菇</x:v>
      </x:c>
      <x:c r="C24" s="2" t="str">
        <x:v>ING038</x:v>
      </x:c>
      <x:c r="D24" s="2" t="str">
        <x:v>香菇鲜</x:v>
      </x:c>
      <x:c r="E24" s="2" t="n">
        <x:v>80</x:v>
      </x:c>
      <x:c r="F24" s="2" t="str">
        <x:v>g</x:v>
      </x:c>
      <x:c r="G24" s="2" t="str">
        <x:v>raw_edible_weight（烹调前可食部）</x:v>
      </x:c>
      <x:c r="H24" s="2" t="str">
        <x:v>CDC_EXACT</x:v>
      </x:c>
      <x:c r="I24" s="2" t="str">
        <x:v>https://nlc.chinanutri.cn/fq/foodinfo/584.html</x:v>
      </x:c>
      <x:c r="J24" s="2" t="str"/>
    </x:row>
    <x:row r="25">
      <x:c r="A25" s="2" t="str">
        <x:v>P004</x:v>
      </x:c>
      <x:c r="B25" s="2" t="str">
        <x:v>去皮鸡腿肉炖菇</x:v>
      </x:c>
      <x:c r="C25" s="2" t="str">
        <x:v>ING048</x:v>
      </x:c>
      <x:c r="D25" s="2" t="str">
        <x:v>植物油</x:v>
      </x:c>
      <x:c r="E25" s="2" t="n">
        <x:v>4</x:v>
      </x:c>
      <x:c r="F25" s="2" t="str">
        <x:v>g</x:v>
      </x:c>
      <x:c r="G25" s="2" t="str">
        <x:v>added_weight（实际加入量）</x:v>
      </x:c>
      <x:c r="H25" s="2" t="str">
        <x:v>STANDARD_DERIVED_GENERIC</x:v>
      </x:c>
      <x:c r="I25" s="2" t="str">
        <x:v>https://www.cnssci.net/uploads/allimg/20240607/1-24060G41PM29.pdf</x:v>
      </x:c>
      <x:c r="J25" s="2" t="str"/>
    </x:row>
    <x:row r="26">
      <x:c r="A26" s="2" t="str">
        <x:v>P005</x:v>
      </x:c>
      <x:c r="B26" s="2" t="str">
        <x:v>番茄炖瘦牛肉</x:v>
      </x:c>
      <x:c r="C26" s="2" t="str">
        <x:v>ING013</x:v>
      </x:c>
      <x:c r="D26" s="2" t="str">
        <x:v>瘦牛肉</x:v>
      </x:c>
      <x:c r="E26" s="2" t="n">
        <x:v>80</x:v>
      </x:c>
      <x:c r="F26" s="2" t="str">
        <x:v>g</x:v>
      </x:c>
      <x:c r="G26" s="2" t="str">
        <x:v>raw_edible_weight（烹调前可食部）</x:v>
      </x:c>
      <x:c r="H26" s="2" t="str">
        <x:v>CDC_EXACT</x:v>
      </x:c>
      <x:c r="I26" s="2" t="str">
        <x:v>https://nlc.chinanutri.cn/fq/foodinfo/830.html</x:v>
      </x:c>
      <x:c r="J26" s="2" t="str"/>
    </x:row>
    <x:row r="27">
      <x:c r="A27" s="2" t="str">
        <x:v>P005</x:v>
      </x:c>
      <x:c r="B27" s="2" t="str">
        <x:v>番茄炖瘦牛肉</x:v>
      </x:c>
      <x:c r="C27" s="2" t="str">
        <x:v>ING031</x:v>
      </x:c>
      <x:c r="D27" s="2" t="str">
        <x:v>番茄</x:v>
      </x:c>
      <x:c r="E27" s="2" t="n">
        <x:v>150</x:v>
      </x:c>
      <x:c r="F27" s="2" t="str">
        <x:v>g</x:v>
      </x:c>
      <x:c r="G27" s="2" t="str">
        <x:v>raw_edible_weight（烹调前可食部）</x:v>
      </x:c>
      <x:c r="H27" s="2" t="str">
        <x:v>CDC_EXACT</x:v>
      </x:c>
      <x:c r="I27" s="2" t="str">
        <x:v>https://nlc.chinanutri.cn/fq/foodinfo/405.html</x:v>
      </x:c>
      <x:c r="J27" s="2" t="str"/>
    </x:row>
    <x:row r="28">
      <x:c r="A28" s="2" t="str">
        <x:v>P005</x:v>
      </x:c>
      <x:c r="B28" s="2" t="str">
        <x:v>番茄炖瘦牛肉</x:v>
      </x:c>
      <x:c r="C28" s="2" t="str">
        <x:v>ING048</x:v>
      </x:c>
      <x:c r="D28" s="2" t="str">
        <x:v>植物油</x:v>
      </x:c>
      <x:c r="E28" s="2" t="n">
        <x:v>5</x:v>
      </x:c>
      <x:c r="F28" s="2" t="str">
        <x:v>g</x:v>
      </x:c>
      <x:c r="G28" s="2" t="str">
        <x:v>added_weight（实际加入量）</x:v>
      </x:c>
      <x:c r="H28" s="2" t="str">
        <x:v>STANDARD_DERIVED_GENERIC</x:v>
      </x:c>
      <x:c r="I28" s="2" t="str">
        <x:v>https://www.cnssci.net/uploads/allimg/20240607/1-24060G41PM29.pdf</x:v>
      </x:c>
      <x:c r="J28" s="2" t="str"/>
    </x:row>
    <x:row r="29">
      <x:c r="A29" s="2" t="str">
        <x:v>P006</x:v>
      </x:c>
      <x:c r="B29" s="2" t="str">
        <x:v>芹菜木耳里脊</x:v>
      </x:c>
      <x:c r="C29" s="2" t="str">
        <x:v>ING012</x:v>
      </x:c>
      <x:c r="D29" s="2" t="str">
        <x:v>猪里脊</x:v>
      </x:c>
      <x:c r="E29" s="2" t="n">
        <x:v>80</x:v>
      </x:c>
      <x:c r="F29" s="2" t="str">
        <x:v>g</x:v>
      </x:c>
      <x:c r="G29" s="2" t="str">
        <x:v>raw_edible_weight（烹调前可食部）</x:v>
      </x:c>
      <x:c r="H29" s="2" t="str">
        <x:v>CDC_EXACT</x:v>
      </x:c>
      <x:c r="I29" s="2" t="str">
        <x:v>https://nlc.chinanutri.cn/fq/foodinfo/784.html</x:v>
      </x:c>
      <x:c r="J29" s="2" t="str"/>
    </x:row>
    <x:row r="30">
      <x:c r="A30" s="2" t="str">
        <x:v>P006</x:v>
      </x:c>
      <x:c r="B30" s="2" t="str">
        <x:v>芹菜木耳里脊</x:v>
      </x:c>
      <x:c r="C30" s="2" t="str">
        <x:v>ING033</x:v>
      </x:c>
      <x:c r="D30" s="2" t="str">
        <x:v>芹菜</x:v>
      </x:c>
      <x:c r="E30" s="2" t="n">
        <x:v>100</x:v>
      </x:c>
      <x:c r="F30" s="2" t="str">
        <x:v>g</x:v>
      </x:c>
      <x:c r="G30" s="2" t="str">
        <x:v>raw_edible_weight（烹调前可食部）</x:v>
      </x:c>
      <x:c r="H30" s="2" t="str">
        <x:v>CDC_EXACT</x:v>
      </x:c>
      <x:c r="I30" s="2" t="str">
        <x:v>https://nlc.chinanutri.cn/fq/foodinfo/479.html</x:v>
      </x:c>
      <x:c r="J30" s="2" t="str"/>
    </x:row>
    <x:row r="31">
      <x:c r="A31" s="2" t="str">
        <x:v>P006</x:v>
      </x:c>
      <x:c r="B31" s="2" t="str">
        <x:v>芹菜木耳里脊</x:v>
      </x:c>
      <x:c r="C31" s="2" t="str">
        <x:v>ING027</x:v>
      </x:c>
      <x:c r="D31" s="2" t="str">
        <x:v>木耳鲜</x:v>
      </x:c>
      <x:c r="E31" s="2" t="n">
        <x:v>50</x:v>
      </x:c>
      <x:c r="F31" s="2" t="str">
        <x:v>g</x:v>
      </x:c>
      <x:c r="G31" s="2" t="str">
        <x:v>hydrated_edible_weight</x:v>
      </x:c>
      <x:c r="H31" s="2" t="str">
        <x:v>IDENTITY_REVIEW_REQUIRED</x:v>
      </x:c>
      <x:c r="I31" s="2" t="str">
        <x:v>https://nlc.chinanutri.cn/fq/foodinfo/580.html</x:v>
      </x:c>
      <x:c r="J31" s="2" t="str">
        <x:v>当前名称建议核对是否实际为水发木耳；若是，统一为hydrated_edible_weight。</x:v>
      </x:c>
    </x:row>
    <x:row r="32">
      <x:c r="A32" s="2" t="str">
        <x:v>P006</x:v>
      </x:c>
      <x:c r="B32" s="2" t="str">
        <x:v>芹菜木耳里脊</x:v>
      </x:c>
      <x:c r="C32" s="2" t="str">
        <x:v>ING048</x:v>
      </x:c>
      <x:c r="D32" s="2" t="str">
        <x:v>植物油</x:v>
      </x:c>
      <x:c r="E32" s="2" t="n">
        <x:v>5</x:v>
      </x:c>
      <x:c r="F32" s="2" t="str">
        <x:v>g</x:v>
      </x:c>
      <x:c r="G32" s="2" t="str">
        <x:v>added_weight（实际加入量）</x:v>
      </x:c>
      <x:c r="H32" s="2" t="str">
        <x:v>STANDARD_DERIVED_GENERIC</x:v>
      </x:c>
      <x:c r="I32" s="2" t="str">
        <x:v>https://www.cnssci.net/uploads/allimg/20240607/1-24060G41PM29.pdf</x:v>
      </x:c>
      <x:c r="J32" s="2" t="str"/>
    </x:row>
    <x:row r="33">
      <x:c r="A33" s="2" t="str">
        <x:v>P007</x:v>
      </x:c>
      <x:c r="B33" s="2" t="str">
        <x:v>虾仁蒸蛋</x:v>
      </x:c>
      <x:c r="C33" s="2" t="str">
        <x:v>ING014</x:v>
      </x:c>
      <x:c r="D33" s="2" t="str">
        <x:v>虾仁</x:v>
      </x:c>
      <x:c r="E33" s="2" t="n">
        <x:v>60</x:v>
      </x:c>
      <x:c r="F33" s="2" t="str">
        <x:v>g</x:v>
      </x:c>
      <x:c r="G33" s="2" t="str">
        <x:v>raw_edible_weight（烹调前可食部）</x:v>
      </x:c>
      <x:c r="H33" s="2" t="str">
        <x:v>SPECIES_MATCH_REQUIRED</x:v>
      </x:c>
      <x:c r="I33" s="2" t="str">
        <x:v>https://nlc.chinanutri.cn/fq/foodinfo/1091.html</x:v>
      </x:c>
      <x:c r="J33" s="2" t="str">
        <x:v>需明确虾种/产品后再做EXACT计算。</x:v>
      </x:c>
    </x:row>
    <x:row r="34">
      <x:c r="A34" s="2" t="str">
        <x:v>P007</x:v>
      </x:c>
      <x:c r="B34" s="2" t="str">
        <x:v>虾仁蒸蛋</x:v>
      </x:c>
      <x:c r="C34" s="2" t="str">
        <x:v>ING019</x:v>
      </x:c>
      <x:c r="D34" s="2" t="str">
        <x:v>鸡蛋</x:v>
      </x:c>
      <x:c r="E34" s="2" t="n">
        <x:v>50</x:v>
      </x:c>
      <x:c r="F34" s="2" t="str">
        <x:v>g</x:v>
      </x:c>
      <x:c r="G34" s="2" t="str">
        <x:v>whole_unit + edible_weight</x:v>
      </x:c>
      <x:c r="H34" s="2" t="str">
        <x:v>CDC_EXACT</x:v>
      </x:c>
      <x:c r="I34" s="2" t="str">
        <x:v>https://nlc.chinanutri.cn/fq/foodinfo/978.html</x:v>
      </x:c>
      <x:c r="J34" s="2" t="str"/>
    </x:row>
    <x:row r="35">
      <x:c r="A35" s="2" t="str">
        <x:v>P007</x:v>
      </x:c>
      <x:c r="B35" s="2" t="str">
        <x:v>虾仁蒸蛋</x:v>
      </x:c>
      <x:c r="C35" s="2" t="str">
        <x:v>ING048</x:v>
      </x:c>
      <x:c r="D35" s="2" t="str">
        <x:v>植物油</x:v>
      </x:c>
      <x:c r="E35" s="2" t="n">
        <x:v>2</x:v>
      </x:c>
      <x:c r="F35" s="2" t="str">
        <x:v>g</x:v>
      </x:c>
      <x:c r="G35" s="2" t="str">
        <x:v>added_weight（实际加入量）</x:v>
      </x:c>
      <x:c r="H35" s="2" t="str">
        <x:v>STANDARD_DERIVED_GENERIC</x:v>
      </x:c>
      <x:c r="I35" s="2" t="str">
        <x:v>https://www.cnssci.net/uploads/allimg/20240607/1-24060G41PM29.pdf</x:v>
      </x:c>
      <x:c r="J35" s="2" t="str"/>
    </x:row>
    <x:row r="36">
      <x:c r="A36" s="2" t="str">
        <x:v>P008</x:v>
      </x:c>
      <x:c r="B36" s="2" t="str">
        <x:v>香菇烧北豆腐</x:v>
      </x:c>
      <x:c r="C36" s="2" t="str">
        <x:v>ING020</x:v>
      </x:c>
      <x:c r="D36" s="2" t="str">
        <x:v>北豆腐</x:v>
      </x:c>
      <x:c r="E36" s="2" t="n">
        <x:v>150</x:v>
      </x:c>
      <x:c r="F36" s="2" t="str">
        <x:v>g</x:v>
      </x:c>
      <x:c r="G36" s="2" t="str">
        <x:v>raw_edible_weight（烹调前可食部）</x:v>
      </x:c>
      <x:c r="H36" s="2" t="str">
        <x:v>CDC_EXACT</x:v>
      </x:c>
      <x:c r="I36" s="2" t="str">
        <x:v>https://nlc.chinanutri.cn/fq/foodinfo/334.html</x:v>
      </x:c>
      <x:c r="J36" s="2" t="str"/>
    </x:row>
    <x:row r="37">
      <x:c r="A37" s="2" t="str">
        <x:v>P008</x:v>
      </x:c>
      <x:c r="B37" s="2" t="str">
        <x:v>香菇烧北豆腐</x:v>
      </x:c>
      <x:c r="C37" s="2" t="str">
        <x:v>ING038</x:v>
      </x:c>
      <x:c r="D37" s="2" t="str">
        <x:v>香菇鲜</x:v>
      </x:c>
      <x:c r="E37" s="2" t="n">
        <x:v>80</x:v>
      </x:c>
      <x:c r="F37" s="2" t="str">
        <x:v>g</x:v>
      </x:c>
      <x:c r="G37" s="2" t="str">
        <x:v>raw_edible_weight（烹调前可食部）</x:v>
      </x:c>
      <x:c r="H37" s="2" t="str">
        <x:v>CDC_EXACT</x:v>
      </x:c>
      <x:c r="I37" s="2" t="str">
        <x:v>https://nlc.chinanutri.cn/fq/foodinfo/584.html</x:v>
      </x:c>
      <x:c r="J37" s="2" t="str"/>
    </x:row>
    <x:row r="38">
      <x:c r="A38" s="2" t="str">
        <x:v>P008</x:v>
      </x:c>
      <x:c r="B38" s="2" t="str">
        <x:v>香菇烧北豆腐</x:v>
      </x:c>
      <x:c r="C38" s="2" t="str">
        <x:v>ING048</x:v>
      </x:c>
      <x:c r="D38" s="2" t="str">
        <x:v>植物油</x:v>
      </x:c>
      <x:c r="E38" s="2" t="n">
        <x:v>5</x:v>
      </x:c>
      <x:c r="F38" s="2" t="str">
        <x:v>g</x:v>
      </x:c>
      <x:c r="G38" s="2" t="str">
        <x:v>added_weight（实际加入量）</x:v>
      </x:c>
      <x:c r="H38" s="2" t="str">
        <x:v>STANDARD_DERIVED_GENERIC</x:v>
      </x:c>
      <x:c r="I38" s="2" t="str">
        <x:v>https://www.cnssci.net/uploads/allimg/20240607/1-24060G41PM29.pdf</x:v>
      </x:c>
      <x:c r="J38" s="2" t="str"/>
    </x:row>
    <x:row r="39">
      <x:c r="A39" s="2" t="str">
        <x:v>P009</x:v>
      </x:c>
      <x:c r="B39" s="2" t="str">
        <x:v>番茄炒蛋（少油版）</x:v>
      </x:c>
      <x:c r="C39" s="2" t="str">
        <x:v>ING019</x:v>
      </x:c>
      <x:c r="D39" s="2" t="str">
        <x:v>鸡蛋</x:v>
      </x:c>
      <x:c r="E39" s="2" t="n">
        <x:v>100</x:v>
      </x:c>
      <x:c r="F39" s="2" t="str">
        <x:v>g</x:v>
      </x:c>
      <x:c r="G39" s="2" t="str">
        <x:v>whole_unit + edible_weight</x:v>
      </x:c>
      <x:c r="H39" s="2" t="str">
        <x:v>CDC_EXACT</x:v>
      </x:c>
      <x:c r="I39" s="2" t="str">
        <x:v>https://nlc.chinanutri.cn/fq/foodinfo/978.html</x:v>
      </x:c>
      <x:c r="J39" s="2" t="str"/>
    </x:row>
    <x:row r="40">
      <x:c r="A40" s="2" t="str">
        <x:v>P009</x:v>
      </x:c>
      <x:c r="B40" s="2" t="str">
        <x:v>番茄炒蛋（少油版）</x:v>
      </x:c>
      <x:c r="C40" s="2" t="str">
        <x:v>ING031</x:v>
      </x:c>
      <x:c r="D40" s="2" t="str">
        <x:v>番茄</x:v>
      </x:c>
      <x:c r="E40" s="2" t="n">
        <x:v>200</x:v>
      </x:c>
      <x:c r="F40" s="2" t="str">
        <x:v>g</x:v>
      </x:c>
      <x:c r="G40" s="2" t="str">
        <x:v>raw_edible_weight（烹调前可食部）</x:v>
      </x:c>
      <x:c r="H40" s="2" t="str">
        <x:v>CDC_EXACT</x:v>
      </x:c>
      <x:c r="I40" s="2" t="str">
        <x:v>https://nlc.chinanutri.cn/fq/foodinfo/405.html</x:v>
      </x:c>
      <x:c r="J40" s="2" t="str"/>
    </x:row>
    <x:row r="41">
      <x:c r="A41" s="2" t="str">
        <x:v>P009</x:v>
      </x:c>
      <x:c r="B41" s="2" t="str">
        <x:v>番茄炒蛋（少油版）</x:v>
      </x:c>
      <x:c r="C41" s="2" t="str">
        <x:v>ING048</x:v>
      </x:c>
      <x:c r="D41" s="2" t="str">
        <x:v>植物油</x:v>
      </x:c>
      <x:c r="E41" s="2" t="n">
        <x:v>5</x:v>
      </x:c>
      <x:c r="F41" s="2" t="str">
        <x:v>g</x:v>
      </x:c>
      <x:c r="G41" s="2" t="str">
        <x:v>added_weight（实际加入量）</x:v>
      </x:c>
      <x:c r="H41" s="2" t="str">
        <x:v>STANDARD_DERIVED_GENERIC</x:v>
      </x:c>
      <x:c r="I41" s="2" t="str">
        <x:v>https://www.cnssci.net/uploads/allimg/20240607/1-24060G41PM29.pdf</x:v>
      </x:c>
      <x:c r="J41" s="2" t="str"/>
    </x:row>
    <x:row r="42">
      <x:c r="A42" s="2" t="str">
        <x:v>P010</x:v>
      </x:c>
      <x:c r="B42" s="2" t="str">
        <x:v>西兰花虾仁</x:v>
      </x:c>
      <x:c r="C42" s="2" t="str">
        <x:v>ING014</x:v>
      </x:c>
      <x:c r="D42" s="2" t="str">
        <x:v>虾仁</x:v>
      </x:c>
      <x:c r="E42" s="2" t="n">
        <x:v>80</x:v>
      </x:c>
      <x:c r="F42" s="2" t="str">
        <x:v>g</x:v>
      </x:c>
      <x:c r="G42" s="2" t="str">
        <x:v>raw_edible_weight（烹调前可食部）</x:v>
      </x:c>
      <x:c r="H42" s="2" t="str">
        <x:v>SPECIES_MATCH_REQUIRED</x:v>
      </x:c>
      <x:c r="I42" s="2" t="str">
        <x:v>https://nlc.chinanutri.cn/fq/foodinfo/1091.html</x:v>
      </x:c>
      <x:c r="J42" s="2" t="str">
        <x:v>需明确虾种/产品后再做EXACT计算。</x:v>
      </x:c>
    </x:row>
    <x:row r="43">
      <x:c r="A43" s="2" t="str">
        <x:v>P010</x:v>
      </x:c>
      <x:c r="B43" s="2" t="str">
        <x:v>西兰花虾仁</x:v>
      </x:c>
      <x:c r="C43" s="2" t="str">
        <x:v>ING036</x:v>
      </x:c>
      <x:c r="D43" s="2" t="str">
        <x:v>西兰花</x:v>
      </x:c>
      <x:c r="E43" s="2" t="n">
        <x:v>150</x:v>
      </x:c>
      <x:c r="F43" s="2" t="str">
        <x:v>g</x:v>
      </x:c>
      <x:c r="G43" s="2" t="str">
        <x:v>raw_edible_weight（烹调前可食部）</x:v>
      </x:c>
      <x:c r="H43" s="2" t="str">
        <x:v>CDC_EXACT</x:v>
      </x:c>
      <x:c r="I43" s="2" t="str">
        <x:v>https://nlc.chinanutri.cn/fq/foodinfo/465.html</x:v>
      </x:c>
      <x:c r="J43" s="2" t="str"/>
    </x:row>
    <x:row r="44">
      <x:c r="A44" s="2" t="str">
        <x:v>P010</x:v>
      </x:c>
      <x:c r="B44" s="2" t="str">
        <x:v>西兰花虾仁</x:v>
      </x:c>
      <x:c r="C44" s="2" t="str">
        <x:v>ING048</x:v>
      </x:c>
      <x:c r="D44" s="2" t="str">
        <x:v>植物油</x:v>
      </x:c>
      <x:c r="E44" s="2" t="n">
        <x:v>5</x:v>
      </x:c>
      <x:c r="F44" s="2" t="str">
        <x:v>g</x:v>
      </x:c>
      <x:c r="G44" s="2" t="str">
        <x:v>added_weight（实际加入量）</x:v>
      </x:c>
      <x:c r="H44" s="2" t="str">
        <x:v>STANDARD_DERIVED_GENERIC</x:v>
      </x:c>
      <x:c r="I44" s="2" t="str">
        <x:v>https://www.cnssci.net/uploads/allimg/20240607/1-24060G41PM29.pdf</x:v>
      </x:c>
      <x:c r="J44" s="2" t="str"/>
    </x:row>
    <x:row r="45">
      <x:c r="A45" s="2" t="str">
        <x:v>P011</x:v>
      </x:c>
      <x:c r="B45" s="2" t="str">
        <x:v>鸡胸彩椒</x:v>
      </x:c>
      <x:c r="C45" s="2" t="str">
        <x:v>ING017</x:v>
      </x:c>
      <x:c r="D45" s="2" t="str">
        <x:v>鸡胸肉</x:v>
      </x:c>
      <x:c r="E45" s="2" t="n">
        <x:v>80</x:v>
      </x:c>
      <x:c r="F45" s="2" t="str">
        <x:v>g</x:v>
      </x:c>
      <x:c r="G45" s="2" t="str">
        <x:v>raw_edible_weight（烹调前可食部）</x:v>
      </x:c>
      <x:c r="H45" s="2" t="str">
        <x:v>CDC_EXACT</x:v>
      </x:c>
      <x:c r="I45" s="2" t="str">
        <x:v>https://nlc.chinanutri.cn/fq/foodinfo/880.html</x:v>
      </x:c>
      <x:c r="J45" s="2" t="str"/>
    </x:row>
    <x:row r="46">
      <x:c r="A46" s="2" t="str">
        <x:v>P011</x:v>
      </x:c>
      <x:c r="B46" s="2" t="str">
        <x:v>鸡胸彩椒</x:v>
      </x:c>
      <x:c r="C46" s="2" t="str">
        <x:v>ING026</x:v>
      </x:c>
      <x:c r="D46" s="2" t="str">
        <x:v>彩椒</x:v>
      </x:c>
      <x:c r="E46" s="2" t="n">
        <x:v>150</x:v>
      </x:c>
      <x:c r="F46" s="2" t="str">
        <x:v>g</x:v>
      </x:c>
      <x:c r="G46" s="2" t="str">
        <x:v>raw_edible_weight（烹调前可食部）</x:v>
      </x:c>
      <x:c r="H46" s="2" t="str">
        <x:v>CDC_EXACT</x:v>
      </x:c>
      <x:c r="I46" s="2" t="str">
        <x:v>https://nlc.chinanutri.cn/fq/foodinfo/415.html</x:v>
      </x:c>
      <x:c r="J46" s="2" t="str"/>
    </x:row>
    <x:row r="47">
      <x:c r="A47" s="2" t="str">
        <x:v>P011</x:v>
      </x:c>
      <x:c r="B47" s="2" t="str">
        <x:v>鸡胸彩椒</x:v>
      </x:c>
      <x:c r="C47" s="2" t="str">
        <x:v>ING048</x:v>
      </x:c>
      <x:c r="D47" s="2" t="str">
        <x:v>植物油</x:v>
      </x:c>
      <x:c r="E47" s="2" t="n">
        <x:v>5</x:v>
      </x:c>
      <x:c r="F47" s="2" t="str">
        <x:v>g</x:v>
      </x:c>
      <x:c r="G47" s="2" t="str">
        <x:v>added_weight（实际加入量）</x:v>
      </x:c>
      <x:c r="H47" s="2" t="str">
        <x:v>STANDARD_DERIVED_GENERIC</x:v>
      </x:c>
      <x:c r="I47" s="2" t="str">
        <x:v>https://www.cnssci.net/uploads/allimg/20240607/1-24060G41PM29.pdf</x:v>
      </x:c>
      <x:c r="J47" s="2" t="str"/>
    </x:row>
    <x:row r="48">
      <x:c r="A48" s="2" t="str">
        <x:v>P012</x:v>
      </x:c>
      <x:c r="B48" s="2" t="str">
        <x:v>牛肉西葫芦</x:v>
      </x:c>
      <x:c r="C48" s="2" t="str">
        <x:v>ING013</x:v>
      </x:c>
      <x:c r="D48" s="2" t="str">
        <x:v>瘦牛肉</x:v>
      </x:c>
      <x:c r="E48" s="2" t="n">
        <x:v>80</x:v>
      </x:c>
      <x:c r="F48" s="2" t="str">
        <x:v>g</x:v>
      </x:c>
      <x:c r="G48" s="2" t="str">
        <x:v>raw_edible_weight（烹调前可食部）</x:v>
      </x:c>
      <x:c r="H48" s="2" t="str">
        <x:v>CDC_EXACT</x:v>
      </x:c>
      <x:c r="I48" s="2" t="str">
        <x:v>https://nlc.chinanutri.cn/fq/foodinfo/830.html</x:v>
      </x:c>
      <x:c r="J48" s="2" t="str"/>
    </x:row>
    <x:row r="49">
      <x:c r="A49" s="2" t="str">
        <x:v>P012</x:v>
      </x:c>
      <x:c r="B49" s="2" t="str">
        <x:v>牛肉西葫芦</x:v>
      </x:c>
      <x:c r="C49" s="2" t="str">
        <x:v>ING037</x:v>
      </x:c>
      <x:c r="D49" s="2" t="str">
        <x:v>西葫芦</x:v>
      </x:c>
      <x:c r="E49" s="2" t="n">
        <x:v>150</x:v>
      </x:c>
      <x:c r="F49" s="2" t="str">
        <x:v>g</x:v>
      </x:c>
      <x:c r="G49" s="2" t="str">
        <x:v>raw_edible_weight（烹调前可食部）</x:v>
      </x:c>
      <x:c r="H49" s="2" t="str">
        <x:v>CDC_EXACT</x:v>
      </x:c>
      <x:c r="I49" s="2" t="str">
        <x:v>https://nlc.chinanutri.cn/fq/foodinfo/431.html</x:v>
      </x:c>
      <x:c r="J49" s="2" t="str"/>
    </x:row>
    <x:row r="50">
      <x:c r="A50" s="2" t="str">
        <x:v>P012</x:v>
      </x:c>
      <x:c r="B50" s="2" t="str">
        <x:v>牛肉西葫芦</x:v>
      </x:c>
      <x:c r="C50" s="2" t="str">
        <x:v>ING048</x:v>
      </x:c>
      <x:c r="D50" s="2" t="str">
        <x:v>植物油</x:v>
      </x:c>
      <x:c r="E50" s="2" t="n">
        <x:v>5</x:v>
      </x:c>
      <x:c r="F50" s="2" t="str">
        <x:v>g</x:v>
      </x:c>
      <x:c r="G50" s="2" t="str">
        <x:v>added_weight（实际加入量）</x:v>
      </x:c>
      <x:c r="H50" s="2" t="str">
        <x:v>STANDARD_DERIVED_GENERIC</x:v>
      </x:c>
      <x:c r="I50" s="2" t="str">
        <x:v>https://www.cnssci.net/uploads/allimg/20240607/1-24060G41PM29.pdf</x:v>
      </x:c>
      <x:c r="J50" s="2" t="str"/>
    </x:row>
    <x:row r="51">
      <x:c r="A51" s="2" t="str">
        <x:v>P013</x:v>
      </x:c>
      <x:c r="B51" s="2" t="str">
        <x:v>冬瓜豆腐虾仁汤</x:v>
      </x:c>
      <x:c r="C51" s="2" t="str">
        <x:v>ING014</x:v>
      </x:c>
      <x:c r="D51" s="2" t="str">
        <x:v>虾仁</x:v>
      </x:c>
      <x:c r="E51" s="2" t="n">
        <x:v>50</x:v>
      </x:c>
      <x:c r="F51" s="2" t="str">
        <x:v>g</x:v>
      </x:c>
      <x:c r="G51" s="2" t="str">
        <x:v>raw_edible_weight（烹调前可食部）</x:v>
      </x:c>
      <x:c r="H51" s="2" t="str">
        <x:v>SPECIES_MATCH_REQUIRED</x:v>
      </x:c>
      <x:c r="I51" s="2" t="str">
        <x:v>https://nlc.chinanutri.cn/fq/foodinfo/1091.html</x:v>
      </x:c>
      <x:c r="J51" s="2" t="str">
        <x:v>需明确虾种/产品后再做EXACT计算。</x:v>
      </x:c>
    </x:row>
    <x:row r="52">
      <x:c r="A52" s="2" t="str">
        <x:v>P013</x:v>
      </x:c>
      <x:c r="B52" s="2" t="str">
        <x:v>冬瓜豆腐虾仁汤</x:v>
      </x:c>
      <x:c r="C52" s="2" t="str">
        <x:v>ING020</x:v>
      </x:c>
      <x:c r="D52" s="2" t="str">
        <x:v>北豆腐</x:v>
      </x:c>
      <x:c r="E52" s="2" t="n">
        <x:v>100</x:v>
      </x:c>
      <x:c r="F52" s="2" t="str">
        <x:v>g</x:v>
      </x:c>
      <x:c r="G52" s="2" t="str">
        <x:v>raw_edible_weight（烹调前可食部）</x:v>
      </x:c>
      <x:c r="H52" s="2" t="str">
        <x:v>CDC_EXACT</x:v>
      </x:c>
      <x:c r="I52" s="2" t="str">
        <x:v>https://nlc.chinanutri.cn/fq/foodinfo/334.html</x:v>
      </x:c>
      <x:c r="J52" s="2" t="str"/>
    </x:row>
    <x:row r="53">
      <x:c r="A53" s="2" t="str">
        <x:v>P013</x:v>
      </x:c>
      <x:c r="B53" s="2" t="str">
        <x:v>冬瓜豆腐虾仁汤</x:v>
      </x:c>
      <x:c r="C53" s="2" t="str">
        <x:v>ING024</x:v>
      </x:c>
      <x:c r="D53" s="2" t="str">
        <x:v>冬瓜</x:v>
      </x:c>
      <x:c r="E53" s="2" t="n">
        <x:v>200</x:v>
      </x:c>
      <x:c r="F53" s="2" t="str">
        <x:v>g</x:v>
      </x:c>
      <x:c r="G53" s="2" t="str">
        <x:v>raw_edible_weight（烹调前可食部）</x:v>
      </x:c>
      <x:c r="H53" s="2" t="str">
        <x:v>CDC_EXACT</x:v>
      </x:c>
      <x:c r="I53" s="2" t="str">
        <x:v>https://nlc.chinanutri.cn/fq/foodinfo/419.html</x:v>
      </x:c>
      <x:c r="J53" s="2" t="str"/>
    </x:row>
    <x:row r="54">
      <x:c r="A54" s="2" t="str">
        <x:v>P013</x:v>
      </x:c>
      <x:c r="B54" s="2" t="str">
        <x:v>冬瓜豆腐虾仁汤</x:v>
      </x:c>
      <x:c r="C54" s="2" t="str">
        <x:v>ING048</x:v>
      </x:c>
      <x:c r="D54" s="2" t="str">
        <x:v>植物油</x:v>
      </x:c>
      <x:c r="E54" s="2" t="n">
        <x:v>2</x:v>
      </x:c>
      <x:c r="F54" s="2" t="str">
        <x:v>g</x:v>
      </x:c>
      <x:c r="G54" s="2" t="str">
        <x:v>added_weight（实际加入量）</x:v>
      </x:c>
      <x:c r="H54" s="2" t="str">
        <x:v>STANDARD_DERIVED_GENERIC</x:v>
      </x:c>
      <x:c r="I54" s="2" t="str">
        <x:v>https://www.cnssci.net/uploads/allimg/20240607/1-24060G41PM29.pdf</x:v>
      </x:c>
      <x:c r="J54" s="2" t="str"/>
    </x:row>
    <x:row r="55">
      <x:c r="A55" s="2" t="str">
        <x:v>P014</x:v>
      </x:c>
      <x:c r="B55" s="2" t="str">
        <x:v>鸡蛋豆腐羹</x:v>
      </x:c>
      <x:c r="C55" s="2" t="str">
        <x:v>ING019</x:v>
      </x:c>
      <x:c r="D55" s="2" t="str">
        <x:v>鸡蛋</x:v>
      </x:c>
      <x:c r="E55" s="2" t="n">
        <x:v>50</x:v>
      </x:c>
      <x:c r="F55" s="2" t="str">
        <x:v>g</x:v>
      </x:c>
      <x:c r="G55" s="2" t="str">
        <x:v>whole_unit + edible_weight</x:v>
      </x:c>
      <x:c r="H55" s="2" t="str">
        <x:v>CDC_EXACT</x:v>
      </x:c>
      <x:c r="I55" s="2" t="str">
        <x:v>https://nlc.chinanutri.cn/fq/foodinfo/978.html</x:v>
      </x:c>
      <x:c r="J55" s="2" t="str"/>
    </x:row>
    <x:row r="56">
      <x:c r="A56" s="2" t="str">
        <x:v>P014</x:v>
      </x:c>
      <x:c r="B56" s="2" t="str">
        <x:v>鸡蛋豆腐羹</x:v>
      </x:c>
      <x:c r="C56" s="2" t="str">
        <x:v>ING020</x:v>
      </x:c>
      <x:c r="D56" s="2" t="str">
        <x:v>北豆腐</x:v>
      </x:c>
      <x:c r="E56" s="2" t="n">
        <x:v>100</x:v>
      </x:c>
      <x:c r="F56" s="2" t="str">
        <x:v>g</x:v>
      </x:c>
      <x:c r="G56" s="2" t="str">
        <x:v>raw_edible_weight（烹调前可食部）</x:v>
      </x:c>
      <x:c r="H56" s="2" t="str">
        <x:v>CDC_EXACT</x:v>
      </x:c>
      <x:c r="I56" s="2" t="str">
        <x:v>https://nlc.chinanutri.cn/fq/foodinfo/334.html</x:v>
      </x:c>
      <x:c r="J56" s="2" t="str"/>
    </x:row>
    <x:row r="57">
      <x:c r="A57" s="2" t="str">
        <x:v>P014</x:v>
      </x:c>
      <x:c r="B57" s="2" t="str">
        <x:v>鸡蛋豆腐羹</x:v>
      </x:c>
      <x:c r="C57" s="2" t="str">
        <x:v>ING048</x:v>
      </x:c>
      <x:c r="D57" s="2" t="str">
        <x:v>植物油</x:v>
      </x:c>
      <x:c r="E57" s="2" t="n">
        <x:v>2</x:v>
      </x:c>
      <x:c r="F57" s="2" t="str">
        <x:v>g</x:v>
      </x:c>
      <x:c r="G57" s="2" t="str">
        <x:v>added_weight（实际加入量）</x:v>
      </x:c>
      <x:c r="H57" s="2" t="str">
        <x:v>STANDARD_DERIVED_GENERIC</x:v>
      </x:c>
      <x:c r="I57" s="2" t="str">
        <x:v>https://www.cnssci.net/uploads/allimg/20240607/1-24060G41PM29.pdf</x:v>
      </x:c>
      <x:c r="J57" s="2" t="str"/>
    </x:row>
    <x:row r="58">
      <x:c r="A58" s="2" t="str">
        <x:v>P015</x:v>
      </x:c>
      <x:c r="B58" s="2" t="str">
        <x:v>低脂奶蛋组合</x:v>
      </x:c>
      <x:c r="C58" s="2" t="str">
        <x:v>ING021</x:v>
      </x:c>
      <x:c r="D58" s="2" t="str">
        <x:v>低脂牛奶</x:v>
      </x:c>
      <x:c r="E58" s="2" t="n">
        <x:v>250</x:v>
      </x:c>
      <x:c r="F58" s="2" t="str">
        <x:v>ml</x:v>
      </x:c>
      <x:c r="G58" s="2" t="str">
        <x:v>package_volume（包装/量具容量）</x:v>
      </x:c>
      <x:c r="H58" s="2" t="str">
        <x:v>PRODUCT_LABEL_REQUIRED</x:v>
      </x:c>
      <x:c r="I58" s="2" t="str">
        <x:v>https://nlc.chinanutri.cn/fq/foodinfo/927.html</x:v>
      </x:c>
      <x:c r="J58" s="2" t="str">
        <x:v>精确营养计算应优先使用实际产品标签。</x:v>
      </x:c>
    </x:row>
    <x:row r="59">
      <x:c r="A59" s="2" t="str">
        <x:v>P015</x:v>
      </x:c>
      <x:c r="B59" s="2" t="str">
        <x:v>低脂奶蛋组合</x:v>
      </x:c>
      <x:c r="C59" s="2" t="str">
        <x:v>ING019</x:v>
      </x:c>
      <x:c r="D59" s="2" t="str">
        <x:v>鸡蛋</x:v>
      </x:c>
      <x:c r="E59" s="2" t="n">
        <x:v>50</x:v>
      </x:c>
      <x:c r="F59" s="2" t="str">
        <x:v>g</x:v>
      </x:c>
      <x:c r="G59" s="2" t="str">
        <x:v>whole_unit + edible_weight</x:v>
      </x:c>
      <x:c r="H59" s="2" t="str">
        <x:v>CDC_EXACT</x:v>
      </x:c>
      <x:c r="I59" s="2" t="str">
        <x:v>https://nlc.chinanutri.cn/fq/foodinfo/978.html</x:v>
      </x:c>
      <x:c r="J59" s="2" t="str"/>
    </x:row>
    <x:row r="60">
      <x:c r="A60" s="2" t="str">
        <x:v>V001</x:v>
      </x:c>
      <x:c r="B60" s="2" t="str">
        <x:v>蒜香西兰花</x:v>
      </x:c>
      <x:c r="C60" s="2" t="str">
        <x:v>ING036</x:v>
      </x:c>
      <x:c r="D60" s="2" t="str">
        <x:v>西兰花</x:v>
      </x:c>
      <x:c r="E60" s="2" t="n">
        <x:v>200</x:v>
      </x:c>
      <x:c r="F60" s="2" t="str">
        <x:v>g</x:v>
      </x:c>
      <x:c r="G60" s="2" t="str">
        <x:v>raw_edible_weight（烹调前可食部）</x:v>
      </x:c>
      <x:c r="H60" s="2" t="str">
        <x:v>CDC_EXACT</x:v>
      </x:c>
      <x:c r="I60" s="2" t="str">
        <x:v>https://nlc.chinanutri.cn/fq/foodinfo/465.html</x:v>
      </x:c>
      <x:c r="J60" s="2" t="str"/>
    </x:row>
    <x:row r="61">
      <x:c r="A61" s="2" t="str">
        <x:v>V001</x:v>
      </x:c>
      <x:c r="B61" s="2" t="str">
        <x:v>蒜香西兰花</x:v>
      </x:c>
      <x:c r="C61" s="2" t="str">
        <x:v>ING048</x:v>
      </x:c>
      <x:c r="D61" s="2" t="str">
        <x:v>植物油</x:v>
      </x:c>
      <x:c r="E61" s="2" t="n">
        <x:v>5</x:v>
      </x:c>
      <x:c r="F61" s="2" t="str">
        <x:v>g</x:v>
      </x:c>
      <x:c r="G61" s="2" t="str">
        <x:v>added_weight（实际加入量）</x:v>
      </x:c>
      <x:c r="H61" s="2" t="str">
        <x:v>STANDARD_DERIVED_GENERIC</x:v>
      </x:c>
      <x:c r="I61" s="2" t="str">
        <x:v>https://www.cnssci.net/uploads/allimg/20240607/1-24060G41PM29.pdf</x:v>
      </x:c>
      <x:c r="J61" s="2" t="str"/>
    </x:row>
    <x:row r="62">
      <x:c r="A62" s="2" t="str">
        <x:v>V002</x:v>
      </x:c>
      <x:c r="B62" s="2" t="str">
        <x:v>清炒菠菜</x:v>
      </x:c>
      <x:c r="C62" s="2" t="str">
        <x:v>ING035</x:v>
      </x:c>
      <x:c r="D62" s="2" t="str">
        <x:v>菠菜</x:v>
      </x:c>
      <x:c r="E62" s="2" t="n">
        <x:v>200</x:v>
      </x:c>
      <x:c r="F62" s="2" t="str">
        <x:v>g</x:v>
      </x:c>
      <x:c r="G62" s="2" t="str">
        <x:v>raw_edible_weight（烹调前可食部）</x:v>
      </x:c>
      <x:c r="H62" s="2" t="str">
        <x:v>CDC_EXACT</x:v>
      </x:c>
      <x:c r="I62" s="2" t="str">
        <x:v>https://nlc.chinanutri.cn/fq/foodinfo/473.html</x:v>
      </x:c>
      <x:c r="J62" s="2" t="str"/>
    </x:row>
    <x:row r="63">
      <x:c r="A63" s="2" t="str">
        <x:v>V002</x:v>
      </x:c>
      <x:c r="B63" s="2" t="str">
        <x:v>清炒菠菜</x:v>
      </x:c>
      <x:c r="C63" s="2" t="str">
        <x:v>ING048</x:v>
      </x:c>
      <x:c r="D63" s="2" t="str">
        <x:v>植物油</x:v>
      </x:c>
      <x:c r="E63" s="2" t="n">
        <x:v>5</x:v>
      </x:c>
      <x:c r="F63" s="2" t="str">
        <x:v>g</x:v>
      </x:c>
      <x:c r="G63" s="2" t="str">
        <x:v>added_weight（实际加入量）</x:v>
      </x:c>
      <x:c r="H63" s="2" t="str">
        <x:v>STANDARD_DERIVED_GENERIC</x:v>
      </x:c>
      <x:c r="I63" s="2" t="str">
        <x:v>https://www.cnssci.net/uploads/allimg/20240607/1-24060G41PM29.pdf</x:v>
      </x:c>
      <x:c r="J63" s="2" t="str"/>
    </x:row>
    <x:row r="64">
      <x:c r="A64" s="2" t="str">
        <x:v>V003</x:v>
      </x:c>
      <x:c r="B64" s="2" t="str">
        <x:v>香菇油麦菜</x:v>
      </x:c>
      <x:c r="C64" s="2" t="str">
        <x:v>ING029</x:v>
      </x:c>
      <x:c r="D64" s="2" t="str">
        <x:v>油麦菜</x:v>
      </x:c>
      <x:c r="E64" s="2" t="n">
        <x:v>180</x:v>
      </x:c>
      <x:c r="F64" s="2" t="str">
        <x:v>g</x:v>
      </x:c>
      <x:c r="G64" s="2" t="str">
        <x:v>raw_edible_weight（烹调前可食部）</x:v>
      </x:c>
      <x:c r="H64" s="2" t="str">
        <x:v>CDC_EXACT</x:v>
      </x:c>
      <x:c r="I64" s="2" t="str">
        <x:v>https://nlc.chinanutri.cn/fq/foodinfo/482.html</x:v>
      </x:c>
      <x:c r="J64" s="2" t="str"/>
    </x:row>
    <x:row r="65">
      <x:c r="A65" s="2" t="str">
        <x:v>V003</x:v>
      </x:c>
      <x:c r="B65" s="2" t="str">
        <x:v>香菇油麦菜</x:v>
      </x:c>
      <x:c r="C65" s="2" t="str">
        <x:v>ING038</x:v>
      </x:c>
      <x:c r="D65" s="2" t="str">
        <x:v>香菇鲜</x:v>
      </x:c>
      <x:c r="E65" s="2" t="n">
        <x:v>80</x:v>
      </x:c>
      <x:c r="F65" s="2" t="str">
        <x:v>g</x:v>
      </x:c>
      <x:c r="G65" s="2" t="str">
        <x:v>raw_edible_weight（烹调前可食部）</x:v>
      </x:c>
      <x:c r="H65" s="2" t="str">
        <x:v>CDC_EXACT</x:v>
      </x:c>
      <x:c r="I65" s="2" t="str">
        <x:v>https://nlc.chinanutri.cn/fq/foodinfo/584.html</x:v>
      </x:c>
      <x:c r="J65" s="2" t="str"/>
    </x:row>
    <x:row r="66">
      <x:c r="A66" s="2" t="str">
        <x:v>V003</x:v>
      </x:c>
      <x:c r="B66" s="2" t="str">
        <x:v>香菇油麦菜</x:v>
      </x:c>
      <x:c r="C66" s="2" t="str">
        <x:v>ING048</x:v>
      </x:c>
      <x:c r="D66" s="2" t="str">
        <x:v>植物油</x:v>
      </x:c>
      <x:c r="E66" s="2" t="n">
        <x:v>5</x:v>
      </x:c>
      <x:c r="F66" s="2" t="str">
        <x:v>g</x:v>
      </x:c>
      <x:c r="G66" s="2" t="str">
        <x:v>added_weight（实际加入量）</x:v>
      </x:c>
      <x:c r="H66" s="2" t="str">
        <x:v>STANDARD_DERIVED_GENERIC</x:v>
      </x:c>
      <x:c r="I66" s="2" t="str">
        <x:v>https://www.cnssci.net/uploads/allimg/20240607/1-24060G41PM29.pdf</x:v>
      </x:c>
      <x:c r="J66" s="2" t="str"/>
    </x:row>
    <x:row r="67">
      <x:c r="A67" s="2" t="str">
        <x:v>V004</x:v>
      </x:c>
      <x:c r="B67" s="2" t="str">
        <x:v>清炒圆白菜</x:v>
      </x:c>
      <x:c r="C67" s="2" t="str">
        <x:v>ING025</x:v>
      </x:c>
      <x:c r="D67" s="2" t="str">
        <x:v>圆白菜</x:v>
      </x:c>
      <x:c r="E67" s="2" t="n">
        <x:v>200</x:v>
      </x:c>
      <x:c r="F67" s="2" t="str">
        <x:v>g</x:v>
      </x:c>
      <x:c r="G67" s="2" t="str">
        <x:v>raw_edible_weight（烹调前可食部）</x:v>
      </x:c>
      <x:c r="H67" s="2" t="str">
        <x:v>CDC_EXACT</x:v>
      </x:c>
      <x:c r="I67" s="2" t="str">
        <x:v>https://nlc.chinanutri.cn/fq/foodinfo/463.html</x:v>
      </x:c>
      <x:c r="J67" s="2" t="str"/>
    </x:row>
    <x:row r="68">
      <x:c r="A68" s="2" t="str">
        <x:v>V004</x:v>
      </x:c>
      <x:c r="B68" s="2" t="str">
        <x:v>清炒圆白菜</x:v>
      </x:c>
      <x:c r="C68" s="2" t="str">
        <x:v>ING048</x:v>
      </x:c>
      <x:c r="D68" s="2" t="str">
        <x:v>植物油</x:v>
      </x:c>
      <x:c r="E68" s="2" t="n">
        <x:v>5</x:v>
      </x:c>
      <x:c r="F68" s="2" t="str">
        <x:v>g</x:v>
      </x:c>
      <x:c r="G68" s="2" t="str">
        <x:v>added_weight（实际加入量）</x:v>
      </x:c>
      <x:c r="H68" s="2" t="str">
        <x:v>STANDARD_DERIVED_GENERIC</x:v>
      </x:c>
      <x:c r="I68" s="2" t="str">
        <x:v>https://www.cnssci.net/uploads/allimg/20240607/1-24060G41PM29.pdf</x:v>
      </x:c>
      <x:c r="J68" s="2" t="str"/>
    </x:row>
    <x:row r="69">
      <x:c r="A69" s="2" t="str">
        <x:v>V005</x:v>
      </x:c>
      <x:c r="B69" s="2" t="str">
        <x:v>芹菜木耳</x:v>
      </x:c>
      <x:c r="C69" s="2" t="str">
        <x:v>ING033</x:v>
      </x:c>
      <x:c r="D69" s="2" t="str">
        <x:v>芹菜</x:v>
      </x:c>
      <x:c r="E69" s="2" t="n">
        <x:v>150</x:v>
      </x:c>
      <x:c r="F69" s="2" t="str">
        <x:v>g</x:v>
      </x:c>
      <x:c r="G69" s="2" t="str">
        <x:v>raw_edible_weight（烹调前可食部）</x:v>
      </x:c>
      <x:c r="H69" s="2" t="str">
        <x:v>CDC_EXACT</x:v>
      </x:c>
      <x:c r="I69" s="2" t="str">
        <x:v>https://nlc.chinanutri.cn/fq/foodinfo/479.html</x:v>
      </x:c>
      <x:c r="J69" s="2" t="str"/>
    </x:row>
    <x:row r="70">
      <x:c r="A70" s="2" t="str">
        <x:v>V005</x:v>
      </x:c>
      <x:c r="B70" s="2" t="str">
        <x:v>芹菜木耳</x:v>
      </x:c>
      <x:c r="C70" s="2" t="str">
        <x:v>ING027</x:v>
      </x:c>
      <x:c r="D70" s="2" t="str">
        <x:v>木耳鲜</x:v>
      </x:c>
      <x:c r="E70" s="2" t="n">
        <x:v>80</x:v>
      </x:c>
      <x:c r="F70" s="2" t="str">
        <x:v>g</x:v>
      </x:c>
      <x:c r="G70" s="2" t="str">
        <x:v>hydrated_edible_weight</x:v>
      </x:c>
      <x:c r="H70" s="2" t="str">
        <x:v>IDENTITY_REVIEW_REQUIRED</x:v>
      </x:c>
      <x:c r="I70" s="2" t="str">
        <x:v>https://nlc.chinanutri.cn/fq/foodinfo/580.html</x:v>
      </x:c>
      <x:c r="J70" s="2" t="str">
        <x:v>当前名称建议核对是否实际为水发木耳；若是，统一为hydrated_edible_weight。</x:v>
      </x:c>
    </x:row>
    <x:row r="71">
      <x:c r="A71" s="2" t="str">
        <x:v>V005</x:v>
      </x:c>
      <x:c r="B71" s="2" t="str">
        <x:v>芹菜木耳</x:v>
      </x:c>
      <x:c r="C71" s="2" t="str">
        <x:v>ING048</x:v>
      </x:c>
      <x:c r="D71" s="2" t="str">
        <x:v>植物油</x:v>
      </x:c>
      <x:c r="E71" s="2" t="n">
        <x:v>5</x:v>
      </x:c>
      <x:c r="F71" s="2" t="str">
        <x:v>g</x:v>
      </x:c>
      <x:c r="G71" s="2" t="str">
        <x:v>added_weight（实际加入量）</x:v>
      </x:c>
      <x:c r="H71" s="2" t="str">
        <x:v>STANDARD_DERIVED_GENERIC</x:v>
      </x:c>
      <x:c r="I71" s="2" t="str">
        <x:v>https://www.cnssci.net/uploads/allimg/20240607/1-24060G41PM29.pdf</x:v>
      </x:c>
      <x:c r="J71" s="2" t="str"/>
    </x:row>
    <x:row r="72">
      <x:c r="A72" s="2" t="str">
        <x:v>V006</x:v>
      </x:c>
      <x:c r="B72" s="2" t="str">
        <x:v>番茄黄瓜双拼</x:v>
      </x:c>
      <x:c r="C72" s="2" t="str">
        <x:v>ING031</x:v>
      </x:c>
      <x:c r="D72" s="2" t="str">
        <x:v>番茄</x:v>
      </x:c>
      <x:c r="E72" s="2" t="n">
        <x:v>150</x:v>
      </x:c>
      <x:c r="F72" s="2" t="str">
        <x:v>g</x:v>
      </x:c>
      <x:c r="G72" s="2" t="str">
        <x:v>raw_edible_weight（烹调前可食部）</x:v>
      </x:c>
      <x:c r="H72" s="2" t="str">
        <x:v>CDC_EXACT</x:v>
      </x:c>
      <x:c r="I72" s="2" t="str">
        <x:v>https://nlc.chinanutri.cn/fq/foodinfo/405.html</x:v>
      </x:c>
      <x:c r="J72" s="2" t="str"/>
    </x:row>
    <x:row r="73">
      <x:c r="A73" s="2" t="str">
        <x:v>V006</x:v>
      </x:c>
      <x:c r="B73" s="2" t="str">
        <x:v>番茄黄瓜双拼</x:v>
      </x:c>
      <x:c r="C73" s="2" t="str">
        <x:v>ING039</x:v>
      </x:c>
      <x:c r="D73" s="2" t="str">
        <x:v>黄瓜</x:v>
      </x:c>
      <x:c r="E73" s="2" t="n">
        <x:v>150</x:v>
      </x:c>
      <x:c r="F73" s="2" t="str">
        <x:v>g</x:v>
      </x:c>
      <x:c r="G73" s="2" t="str">
        <x:v>raw_edible_weight（烹调前可食部）</x:v>
      </x:c>
      <x:c r="H73" s="2" t="str">
        <x:v>CDC_EXACT</x:v>
      </x:c>
      <x:c r="I73" s="2" t="str">
        <x:v>https://nlc.chinanutri.cn/fq/foodinfo/422.html</x:v>
      </x:c>
      <x:c r="J73" s="2" t="str"/>
    </x:row>
    <x:row r="74">
      <x:c r="A74" s="2" t="str">
        <x:v>V006</x:v>
      </x:c>
      <x:c r="B74" s="2" t="str">
        <x:v>番茄黄瓜双拼</x:v>
      </x:c>
      <x:c r="C74" s="2" t="str">
        <x:v>ING048</x:v>
      </x:c>
      <x:c r="D74" s="2" t="str">
        <x:v>植物油</x:v>
      </x:c>
      <x:c r="E74" s="2" t="n">
        <x:v>3</x:v>
      </x:c>
      <x:c r="F74" s="2" t="str">
        <x:v>g</x:v>
      </x:c>
      <x:c r="G74" s="2" t="str">
        <x:v>added_weight（实际加入量）</x:v>
      </x:c>
      <x:c r="H74" s="2" t="str">
        <x:v>STANDARD_DERIVED_GENERIC</x:v>
      </x:c>
      <x:c r="I74" s="2" t="str">
        <x:v>https://www.cnssci.net/uploads/allimg/20240607/1-24060G41PM29.pdf</x:v>
      </x:c>
      <x:c r="J74" s="2" t="str"/>
    </x:row>
    <x:row r="75">
      <x:c r="A75" s="2" t="str">
        <x:v>V007</x:v>
      </x:c>
      <x:c r="B75" s="2" t="str">
        <x:v>彩椒杏鲍菇</x:v>
      </x:c>
      <x:c r="C75" s="2" t="str">
        <x:v>ING026</x:v>
      </x:c>
      <x:c r="D75" s="2" t="str">
        <x:v>彩椒</x:v>
      </x:c>
      <x:c r="E75" s="2" t="n">
        <x:v>100</x:v>
      </x:c>
      <x:c r="F75" s="2" t="str">
        <x:v>g</x:v>
      </x:c>
      <x:c r="G75" s="2" t="str">
        <x:v>raw_edible_weight（烹调前可食部）</x:v>
      </x:c>
      <x:c r="H75" s="2" t="str">
        <x:v>CDC_EXACT</x:v>
      </x:c>
      <x:c r="I75" s="2" t="str">
        <x:v>https://nlc.chinanutri.cn/fq/foodinfo/415.html</x:v>
      </x:c>
      <x:c r="J75" s="2" t="str"/>
    </x:row>
    <x:row r="76">
      <x:c r="A76" s="2" t="str">
        <x:v>V007</x:v>
      </x:c>
      <x:c r="B76" s="2" t="str">
        <x:v>彩椒杏鲍菇</x:v>
      </x:c>
      <x:c r="C76" s="2" t="str">
        <x:v>ING028</x:v>
      </x:c>
      <x:c r="D76" s="2" t="str">
        <x:v>杏鲍菇</x:v>
      </x:c>
      <x:c r="E76" s="2" t="n">
        <x:v>150</x:v>
      </x:c>
      <x:c r="F76" s="2" t="str">
        <x:v>g</x:v>
      </x:c>
      <x:c r="G76" s="2" t="str">
        <x:v>raw_edible_weight（烹调前可食部）</x:v>
      </x:c>
      <x:c r="H76" s="2" t="str">
        <x:v>CDC_EXACT</x:v>
      </x:c>
      <x:c r="I76" s="2" t="str">
        <x:v>https://nlc.chinanutri.cn/fq/foodinfo/602.html</x:v>
      </x:c>
      <x:c r="J76" s="2" t="str"/>
    </x:row>
    <x:row r="77">
      <x:c r="A77" s="2" t="str">
        <x:v>V007</x:v>
      </x:c>
      <x:c r="B77" s="2" t="str">
        <x:v>彩椒杏鲍菇</x:v>
      </x:c>
      <x:c r="C77" s="2" t="str">
        <x:v>ING048</x:v>
      </x:c>
      <x:c r="D77" s="2" t="str">
        <x:v>植物油</x:v>
      </x:c>
      <x:c r="E77" s="2" t="n">
        <x:v>5</x:v>
      </x:c>
      <x:c r="F77" s="2" t="str">
        <x:v>g</x:v>
      </x:c>
      <x:c r="G77" s="2" t="str">
        <x:v>added_weight（实际加入量）</x:v>
      </x:c>
      <x:c r="H77" s="2" t="str">
        <x:v>STANDARD_DERIVED_GENERIC</x:v>
      </x:c>
      <x:c r="I77" s="2" t="str">
        <x:v>https://www.cnssci.net/uploads/allimg/20240607/1-24060G41PM29.pdf</x:v>
      </x:c>
      <x:c r="J77" s="2" t="str"/>
    </x:row>
    <x:row r="78">
      <x:c r="A78" s="2" t="str">
        <x:v>V008</x:v>
      </x:c>
      <x:c r="B78" s="2" t="str">
        <x:v>胡萝卜西葫芦</x:v>
      </x:c>
      <x:c r="C78" s="2" t="str">
        <x:v>ING032</x:v>
      </x:c>
      <x:c r="D78" s="2" t="str">
        <x:v>胡萝卜</x:v>
      </x:c>
      <x:c r="E78" s="2" t="n">
        <x:v>80</x:v>
      </x:c>
      <x:c r="F78" s="2" t="str">
        <x:v>g</x:v>
      </x:c>
      <x:c r="G78" s="2" t="str">
        <x:v>raw_edible_weight（烹调前可食部）</x:v>
      </x:c>
      <x:c r="H78" s="2" t="str">
        <x:v>CDC_EXACT</x:v>
      </x:c>
      <x:c r="I78" s="2" t="str">
        <x:v>https://nlc.chinanutri.cn/fq/foodinfo/380.html</x:v>
      </x:c>
      <x:c r="J78" s="2" t="str"/>
    </x:row>
    <x:row r="79">
      <x:c r="A79" s="2" t="str">
        <x:v>V008</x:v>
      </x:c>
      <x:c r="B79" s="2" t="str">
        <x:v>胡萝卜西葫芦</x:v>
      </x:c>
      <x:c r="C79" s="2" t="str">
        <x:v>ING037</x:v>
      </x:c>
      <x:c r="D79" s="2" t="str">
        <x:v>西葫芦</x:v>
      </x:c>
      <x:c r="E79" s="2" t="n">
        <x:v>180</x:v>
      </x:c>
      <x:c r="F79" s="2" t="str">
        <x:v>g</x:v>
      </x:c>
      <x:c r="G79" s="2" t="str">
        <x:v>raw_edible_weight（烹调前可食部）</x:v>
      </x:c>
      <x:c r="H79" s="2" t="str">
        <x:v>CDC_EXACT</x:v>
      </x:c>
      <x:c r="I79" s="2" t="str">
        <x:v>https://nlc.chinanutri.cn/fq/foodinfo/431.html</x:v>
      </x:c>
      <x:c r="J79" s="2" t="str"/>
    </x:row>
    <x:row r="80">
      <x:c r="A80" s="2" t="str">
        <x:v>V008</x:v>
      </x:c>
      <x:c r="B80" s="2" t="str">
        <x:v>胡萝卜西葫芦</x:v>
      </x:c>
      <x:c r="C80" s="2" t="str">
        <x:v>ING048</x:v>
      </x:c>
      <x:c r="D80" s="2" t="str">
        <x:v>植物油</x:v>
      </x:c>
      <x:c r="E80" s="2" t="n">
        <x:v>5</x:v>
      </x:c>
      <x:c r="F80" s="2" t="str">
        <x:v>g</x:v>
      </x:c>
      <x:c r="G80" s="2" t="str">
        <x:v>added_weight（实际加入量）</x:v>
      </x:c>
      <x:c r="H80" s="2" t="str">
        <x:v>STANDARD_DERIVED_GENERIC</x:v>
      </x:c>
      <x:c r="I80" s="2" t="str">
        <x:v>https://www.cnssci.net/uploads/allimg/20240607/1-24060G41PM29.pdf</x:v>
      </x:c>
      <x:c r="J80" s="2" t="str"/>
    </x:row>
    <x:row r="81">
      <x:c r="A81" s="2" t="str">
        <x:v>V009</x:v>
      </x:c>
      <x:c r="B81" s="2" t="str">
        <x:v>冬瓜香菇</x:v>
      </x:c>
      <x:c r="C81" s="2" t="str">
        <x:v>ING024</x:v>
      </x:c>
      <x:c r="D81" s="2" t="str">
        <x:v>冬瓜</x:v>
      </x:c>
      <x:c r="E81" s="2" t="n">
        <x:v>250</x:v>
      </x:c>
      <x:c r="F81" s="2" t="str">
        <x:v>g</x:v>
      </x:c>
      <x:c r="G81" s="2" t="str">
        <x:v>raw_edible_weight（烹调前可食部）</x:v>
      </x:c>
      <x:c r="H81" s="2" t="str">
        <x:v>CDC_EXACT</x:v>
      </x:c>
      <x:c r="I81" s="2" t="str">
        <x:v>https://nlc.chinanutri.cn/fq/foodinfo/419.html</x:v>
      </x:c>
      <x:c r="J81" s="2" t="str"/>
    </x:row>
    <x:row r="82">
      <x:c r="A82" s="2" t="str">
        <x:v>V009</x:v>
      </x:c>
      <x:c r="B82" s="2" t="str">
        <x:v>冬瓜香菇</x:v>
      </x:c>
      <x:c r="C82" s="2" t="str">
        <x:v>ING038</x:v>
      </x:c>
      <x:c r="D82" s="2" t="str">
        <x:v>香菇鲜</x:v>
      </x:c>
      <x:c r="E82" s="2" t="n">
        <x:v>60</x:v>
      </x:c>
      <x:c r="F82" s="2" t="str">
        <x:v>g</x:v>
      </x:c>
      <x:c r="G82" s="2" t="str">
        <x:v>raw_edible_weight（烹调前可食部）</x:v>
      </x:c>
      <x:c r="H82" s="2" t="str">
        <x:v>CDC_EXACT</x:v>
      </x:c>
      <x:c r="I82" s="2" t="str">
        <x:v>https://nlc.chinanutri.cn/fq/foodinfo/584.html</x:v>
      </x:c>
      <x:c r="J82" s="2" t="str"/>
    </x:row>
    <x:row r="83">
      <x:c r="A83" s="2" t="str">
        <x:v>V009</x:v>
      </x:c>
      <x:c r="B83" s="2" t="str">
        <x:v>冬瓜香菇</x:v>
      </x:c>
      <x:c r="C83" s="2" t="str">
        <x:v>ING048</x:v>
      </x:c>
      <x:c r="D83" s="2" t="str">
        <x:v>植物油</x:v>
      </x:c>
      <x:c r="E83" s="2" t="n">
        <x:v>4</x:v>
      </x:c>
      <x:c r="F83" s="2" t="str">
        <x:v>g</x:v>
      </x:c>
      <x:c r="G83" s="2" t="str">
        <x:v>added_weight（实际加入量）</x:v>
      </x:c>
      <x:c r="H83" s="2" t="str">
        <x:v>STANDARD_DERIVED_GENERIC</x:v>
      </x:c>
      <x:c r="I83" s="2" t="str">
        <x:v>https://www.cnssci.net/uploads/allimg/20240607/1-24060G41PM29.pdf</x:v>
      </x:c>
      <x:c r="J83" s="2" t="str"/>
    </x:row>
    <x:row r="84">
      <x:c r="A84" s="2" t="str">
        <x:v>V010</x:v>
      </x:c>
      <x:c r="B84" s="2" t="str">
        <x:v>少油烧茄子</x:v>
      </x:c>
      <x:c r="C84" s="2" t="str">
        <x:v>ING034</x:v>
      </x:c>
      <x:c r="D84" s="2" t="str">
        <x:v>茄子</x:v>
      </x:c>
      <x:c r="E84" s="2" t="n">
        <x:v>200</x:v>
      </x:c>
      <x:c r="F84" s="2" t="str">
        <x:v>g</x:v>
      </x:c>
      <x:c r="G84" s="2" t="str">
        <x:v>raw_edible_weight（烹调前可食部）</x:v>
      </x:c>
      <x:c r="H84" s="2" t="str">
        <x:v>CDC_EXACT</x:v>
      </x:c>
      <x:c r="I84" s="2" t="str">
        <x:v>https://nlc.chinanutri.cn/fq/foodinfo/402.html</x:v>
      </x:c>
      <x:c r="J84" s="2" t="str"/>
    </x:row>
    <x:row r="85">
      <x:c r="A85" s="2" t="str">
        <x:v>V010</x:v>
      </x:c>
      <x:c r="B85" s="2" t="str">
        <x:v>少油烧茄子</x:v>
      </x:c>
      <x:c r="C85" s="2" t="str">
        <x:v>ING048</x:v>
      </x:c>
      <x:c r="D85" s="2" t="str">
        <x:v>植物油</x:v>
      </x:c>
      <x:c r="E85" s="2" t="n">
        <x:v>6</x:v>
      </x:c>
      <x:c r="F85" s="2" t="str">
        <x:v>g</x:v>
      </x:c>
      <x:c r="G85" s="2" t="str">
        <x:v>added_weight（实际加入量）</x:v>
      </x:c>
      <x:c r="H85" s="2" t="str">
        <x:v>STANDARD_DERIVED_GENERIC</x:v>
      </x:c>
      <x:c r="I85" s="2" t="str">
        <x:v>https://www.cnssci.net/uploads/allimg/20240607/1-24060G41PM29.pdf</x:v>
      </x:c>
      <x:c r="J85" s="2" t="str"/>
    </x:row>
    <x:row r="86">
      <x:c r="A86" s="2" t="str">
        <x:v>V011</x:v>
      </x:c>
      <x:c r="B86" s="2" t="str">
        <x:v>生菜番茄沙拉（中式清拌）</x:v>
      </x:c>
      <x:c r="C86" s="2" t="str">
        <x:v>ING030</x:v>
      </x:c>
      <x:c r="D86" s="2" t="str">
        <x:v>生菜</x:v>
      </x:c>
      <x:c r="E86" s="2" t="n">
        <x:v>150</x:v>
      </x:c>
      <x:c r="F86" s="2" t="str">
        <x:v>g</x:v>
      </x:c>
      <x:c r="G86" s="2" t="str">
        <x:v>raw_edible_weight（烹调前可食部）</x:v>
      </x:c>
      <x:c r="H86" s="2" t="str">
        <x:v>CDC_EXACT</x:v>
      </x:c>
      <x:c r="I86" s="2" t="str">
        <x:v>https://nlc.chinanutri.cn/fq/foodinfo/483.html</x:v>
      </x:c>
      <x:c r="J86" s="2" t="str"/>
    </x:row>
    <x:row r="87">
      <x:c r="A87" s="2" t="str">
        <x:v>V011</x:v>
      </x:c>
      <x:c r="B87" s="2" t="str">
        <x:v>生菜番茄沙拉（中式清拌）</x:v>
      </x:c>
      <x:c r="C87" s="2" t="str">
        <x:v>ING031</x:v>
      </x:c>
      <x:c r="D87" s="2" t="str">
        <x:v>番茄</x:v>
      </x:c>
      <x:c r="E87" s="2" t="n">
        <x:v>150</x:v>
      </x:c>
      <x:c r="F87" s="2" t="str">
        <x:v>g</x:v>
      </x:c>
      <x:c r="G87" s="2" t="str">
        <x:v>raw_edible_weight（烹调前可食部）</x:v>
      </x:c>
      <x:c r="H87" s="2" t="str">
        <x:v>CDC_EXACT</x:v>
      </x:c>
      <x:c r="I87" s="2" t="str">
        <x:v>https://nlc.chinanutri.cn/fq/foodinfo/405.html</x:v>
      </x:c>
      <x:c r="J87" s="2" t="str"/>
    </x:row>
    <x:row r="88">
      <x:c r="A88" s="2" t="str">
        <x:v>V011</x:v>
      </x:c>
      <x:c r="B88" s="2" t="str">
        <x:v>生菜番茄沙拉（中式清拌）</x:v>
      </x:c>
      <x:c r="C88" s="2" t="str">
        <x:v>ING048</x:v>
      </x:c>
      <x:c r="D88" s="2" t="str">
        <x:v>植物油</x:v>
      </x:c>
      <x:c r="E88" s="2" t="n">
        <x:v>3</x:v>
      </x:c>
      <x:c r="F88" s="2" t="str">
        <x:v>g</x:v>
      </x:c>
      <x:c r="G88" s="2" t="str">
        <x:v>added_weight（实际加入量）</x:v>
      </x:c>
      <x:c r="H88" s="2" t="str">
        <x:v>STANDARD_DERIVED_GENERIC</x:v>
      </x:c>
      <x:c r="I88" s="2" t="str">
        <x:v>https://www.cnssci.net/uploads/allimg/20240607/1-24060G41PM29.pdf</x:v>
      </x:c>
      <x:c r="J88" s="2" t="str"/>
    </x:row>
    <x:row r="89">
      <x:c r="A89" s="2" t="str">
        <x:v>V012</x:v>
      </x:c>
      <x:c r="B89" s="2" t="str">
        <x:v>西兰花胡萝卜双蔬</x:v>
      </x:c>
      <x:c r="C89" s="2" t="str">
        <x:v>ING036</x:v>
      </x:c>
      <x:c r="D89" s="2" t="str">
        <x:v>西兰花</x:v>
      </x:c>
      <x:c r="E89" s="2" t="n">
        <x:v>150</x:v>
      </x:c>
      <x:c r="F89" s="2" t="str">
        <x:v>g</x:v>
      </x:c>
      <x:c r="G89" s="2" t="str">
        <x:v>raw_edible_weight（烹调前可食部）</x:v>
      </x:c>
      <x:c r="H89" s="2" t="str">
        <x:v>CDC_EXACT</x:v>
      </x:c>
      <x:c r="I89" s="2" t="str">
        <x:v>https://nlc.chinanutri.cn/fq/foodinfo/465.html</x:v>
      </x:c>
      <x:c r="J89" s="2" t="str"/>
    </x:row>
    <x:row r="90">
      <x:c r="A90" s="2" t="str">
        <x:v>V012</x:v>
      </x:c>
      <x:c r="B90" s="2" t="str">
        <x:v>西兰花胡萝卜双蔬</x:v>
      </x:c>
      <x:c r="C90" s="2" t="str">
        <x:v>ING032</x:v>
      </x:c>
      <x:c r="D90" s="2" t="str">
        <x:v>胡萝卜</x:v>
      </x:c>
      <x:c r="E90" s="2" t="n">
        <x:v>80</x:v>
      </x:c>
      <x:c r="F90" s="2" t="str">
        <x:v>g</x:v>
      </x:c>
      <x:c r="G90" s="2" t="str">
        <x:v>raw_edible_weight（烹调前可食部）</x:v>
      </x:c>
      <x:c r="H90" s="2" t="str">
        <x:v>CDC_EXACT</x:v>
      </x:c>
      <x:c r="I90" s="2" t="str">
        <x:v>https://nlc.chinanutri.cn/fq/foodinfo/380.html</x:v>
      </x:c>
      <x:c r="J90" s="2" t="str"/>
    </x:row>
    <x:row r="91">
      <x:c r="A91" s="2" t="str">
        <x:v>V012</x:v>
      </x:c>
      <x:c r="B91" s="2" t="str">
        <x:v>西兰花胡萝卜双蔬</x:v>
      </x:c>
      <x:c r="C91" s="2" t="str">
        <x:v>ING048</x:v>
      </x:c>
      <x:c r="D91" s="2" t="str">
        <x:v>植物油</x:v>
      </x:c>
      <x:c r="E91" s="2" t="n">
        <x:v>5</x:v>
      </x:c>
      <x:c r="F91" s="2" t="str">
        <x:v>g</x:v>
      </x:c>
      <x:c r="G91" s="2" t="str">
        <x:v>added_weight（实际加入量）</x:v>
      </x:c>
      <x:c r="H91" s="2" t="str">
        <x:v>STANDARD_DERIVED_GENERIC</x:v>
      </x:c>
      <x:c r="I91" s="2" t="str">
        <x:v>https://www.cnssci.net/uploads/allimg/20240607/1-24060G41PM29.pdf</x:v>
      </x:c>
      <x:c r="J91" s="2" t="str"/>
    </x:row>
    <x:row r="92">
      <x:c r="A92" s="2" t="str">
        <x:v>S001</x:v>
      </x:c>
      <x:c r="B92" s="2" t="str">
        <x:v>低脂奶+苹果</x:v>
      </x:c>
      <x:c r="C92" s="2" t="str">
        <x:v>ING021</x:v>
      </x:c>
      <x:c r="D92" s="2" t="str">
        <x:v>低脂牛奶</x:v>
      </x:c>
      <x:c r="E92" s="2" t="n">
        <x:v>200</x:v>
      </x:c>
      <x:c r="F92" s="2" t="str">
        <x:v>ml</x:v>
      </x:c>
      <x:c r="G92" s="2" t="str">
        <x:v>package_volume（包装/量具容量）</x:v>
      </x:c>
      <x:c r="H92" s="2" t="str">
        <x:v>PRODUCT_LABEL_REQUIRED</x:v>
      </x:c>
      <x:c r="I92" s="2" t="str">
        <x:v>https://nlc.chinanutri.cn/fq/foodinfo/927.html</x:v>
      </x:c>
      <x:c r="J92" s="2" t="str">
        <x:v>精确营养计算应优先使用实际产品标签。</x:v>
      </x:c>
    </x:row>
    <x:row r="93">
      <x:c r="A93" s="2" t="str">
        <x:v>S001</x:v>
      </x:c>
      <x:c r="B93" s="2" t="str">
        <x:v>低脂奶+苹果</x:v>
      </x:c>
      <x:c r="C93" s="2" t="str">
        <x:v>ING043</x:v>
      </x:c>
      <x:c r="D93" s="2" t="str">
        <x:v>苹果</x:v>
      </x:c>
      <x:c r="E93" s="2" t="n">
        <x:v>120</x:v>
      </x:c>
      <x:c r="F93" s="2" t="str">
        <x:v>g</x:v>
      </x:c>
      <x:c r="G93" s="2" t="str">
        <x:v>raw_edible_weight（烹调前可食部）</x:v>
      </x:c>
      <x:c r="H93" s="2" t="str">
        <x:v>CDC_EXACT</x:v>
      </x:c>
      <x:c r="I93" s="2" t="str">
        <x:v>https://nlc.chinanutri.cn/fq/foodinfo/613.html</x:v>
      </x:c>
      <x:c r="J93" s="2" t="str"/>
    </x:row>
    <x:row r="94">
      <x:c r="A94" s="2" t="str">
        <x:v>S002</x:v>
      </x:c>
      <x:c r="B94" s="2" t="str">
        <x:v>无糖酸奶+草莓</x:v>
      </x:c>
      <x:c r="C94" s="2" t="str">
        <x:v>ING022</x:v>
      </x:c>
      <x:c r="D94" s="2" t="str">
        <x:v>无糖酸奶</x:v>
      </x:c>
      <x:c r="E94" s="2" t="n">
        <x:v>150</x:v>
      </x:c>
      <x:c r="F94" s="2" t="str">
        <x:v>g</x:v>
      </x:c>
      <x:c r="G94" s="2" t="str">
        <x:v>package_net_weight</x:v>
      </x:c>
      <x:c r="H94" s="2" t="str">
        <x:v>PRODUCT_LABEL_REQUIRED</x:v>
      </x:c>
      <x:c r="I94" s="2" t="str">
        <x:v>https://nlc.chinanutri.cn/fq/foodinfo/958.html</x:v>
      </x:c>
      <x:c r="J94" s="2" t="str">
        <x:v>按包装净含量g记录；精确营养以实际产品标签为准；不得自动ml↔g换算。</x:v>
      </x:c>
    </x:row>
    <x:row r="95">
      <x:c r="A95" s="2" t="str">
        <x:v>S002</x:v>
      </x:c>
      <x:c r="B95" s="2" t="str">
        <x:v>无糖酸奶+草莓</x:v>
      </x:c>
      <x:c r="C95" s="2" t="str">
        <x:v>ING044</x:v>
      </x:c>
      <x:c r="D95" s="2" t="str">
        <x:v>草莓</x:v>
      </x:c>
      <x:c r="E95" s="2" t="n">
        <x:v>150</x:v>
      </x:c>
      <x:c r="F95" s="2" t="str">
        <x:v>g</x:v>
      </x:c>
      <x:c r="G95" s="2" t="str">
        <x:v>raw_edible_weight（烹调前可食部）</x:v>
      </x:c>
      <x:c r="H95" s="2" t="str">
        <x:v>CDC_EXACT</x:v>
      </x:c>
      <x:c r="I95" s="2" t="str">
        <x:v>https://nlc.chinanutri.cn/fq/foodinfo/701.html</x:v>
      </x:c>
      <x:c r="J95" s="2" t="str"/>
    </x:row>
    <x:row r="96">
      <x:c r="A96" s="2" t="str">
        <x:v>S003</x:v>
      </x:c>
      <x:c r="B96" s="2" t="str">
        <x:v>无糖豆浆+梨</x:v>
      </x:c>
      <x:c r="C96" s="2" t="str">
        <x:v>ING023</x:v>
      </x:c>
      <x:c r="D96" s="2" t="str">
        <x:v>无糖豆浆</x:v>
      </x:c>
      <x:c r="E96" s="2" t="n">
        <x:v>250</x:v>
      </x:c>
      <x:c r="F96" s="2" t="str">
        <x:v>ml</x:v>
      </x:c>
      <x:c r="G96" s="2" t="str">
        <x:v>package_volume（包装/量具容量）</x:v>
      </x:c>
      <x:c r="H96" s="2" t="str">
        <x:v>PRODUCT_LABEL_REQUIRED</x:v>
      </x:c>
      <x:c r="I96" s="2" t="str">
        <x:v>https://nlc.chinanutri.cn/fq/foodinfo/338.html</x:v>
      </x:c>
      <x:c r="J96" s="2" t="str">
        <x:v>精确营养计算应优先使用实际产品标签。</x:v>
      </x:c>
    </x:row>
    <x:row r="97">
      <x:c r="A97" s="2" t="str">
        <x:v>S003</x:v>
      </x:c>
      <x:c r="B97" s="2" t="str">
        <x:v>无糖豆浆+梨</x:v>
      </x:c>
      <x:c r="C97" s="2" t="str">
        <x:v>ING040</x:v>
      </x:c>
      <x:c r="D97" s="2" t="str">
        <x:v>梨</x:v>
      </x:c>
      <x:c r="E97" s="2" t="n">
        <x:v>120</x:v>
      </x:c>
      <x:c r="F97" s="2" t="str">
        <x:v>g</x:v>
      </x:c>
      <x:c r="G97" s="2" t="str">
        <x:v>raw_edible_weight（烹调前可食部）</x:v>
      </x:c>
      <x:c r="H97" s="2" t="str">
        <x:v>CDC_EXACT</x:v>
      </x:c>
      <x:c r="I97" s="2" t="str">
        <x:v>https://nlc.chinanutri.cn/fq/foodinfo/630.html</x:v>
      </x:c>
      <x:c r="J97" s="2" t="str"/>
    </x:row>
    <x:row r="98">
      <x:c r="A98" s="2" t="str">
        <x:v>S004</x:v>
      </x:c>
      <x:c r="B98" s="2" t="str">
        <x:v>低脂奶+小香蕉</x:v>
      </x:c>
      <x:c r="C98" s="2" t="str">
        <x:v>ING021</x:v>
      </x:c>
      <x:c r="D98" s="2" t="str">
        <x:v>低脂牛奶</x:v>
      </x:c>
      <x:c r="E98" s="2" t="n">
        <x:v>200</x:v>
      </x:c>
      <x:c r="F98" s="2" t="str">
        <x:v>ml</x:v>
      </x:c>
      <x:c r="G98" s="2" t="str">
        <x:v>package_volume（包装/量具容量）</x:v>
      </x:c>
      <x:c r="H98" s="2" t="str">
        <x:v>PRODUCT_LABEL_REQUIRED</x:v>
      </x:c>
      <x:c r="I98" s="2" t="str">
        <x:v>https://nlc.chinanutri.cn/fq/foodinfo/927.html</x:v>
      </x:c>
      <x:c r="J98" s="2" t="str">
        <x:v>精确营养计算应优先使用实际产品标签。</x:v>
      </x:c>
    </x:row>
    <x:row r="99">
      <x:c r="A99" s="2" t="str">
        <x:v>S004</x:v>
      </x:c>
      <x:c r="B99" s="2" t="str">
        <x:v>低脂奶+小香蕉</x:v>
      </x:c>
      <x:c r="C99" s="2" t="str">
        <x:v>ING045</x:v>
      </x:c>
      <x:c r="D99" s="2" t="str">
        <x:v>香蕉</x:v>
      </x:c>
      <x:c r="E99" s="2" t="n">
        <x:v>80</x:v>
      </x:c>
      <x:c r="F99" s="2" t="str">
        <x:v>g</x:v>
      </x:c>
      <x:c r="G99" s="2" t="str">
        <x:v>raw_edible_weight（烹调前可食部）</x:v>
      </x:c>
      <x:c r="H99" s="2" t="str">
        <x:v>CDC_EXACT</x:v>
      </x:c>
      <x:c r="I99" s="2" t="str">
        <x:v>https://nlc.chinanutri.cn/fq/foodinfo/726.html</x:v>
      </x:c>
      <x:c r="J99" s="2" t="str"/>
    </x:row>
    <x:row r="100">
      <x:c r="A100" s="2" t="str">
        <x:v>S005</x:v>
      </x:c>
      <x:c r="B100" s="2" t="str">
        <x:v>无糖酸奶+核桃</x:v>
      </x:c>
      <x:c r="C100" s="2" t="str">
        <x:v>ING022</x:v>
      </x:c>
      <x:c r="D100" s="2" t="str">
        <x:v>无糖酸奶</x:v>
      </x:c>
      <x:c r="E100" s="2" t="n">
        <x:v>150</x:v>
      </x:c>
      <x:c r="F100" s="2" t="str">
        <x:v>g</x:v>
      </x:c>
      <x:c r="G100" s="2" t="str">
        <x:v>package_net_weight</x:v>
      </x:c>
      <x:c r="H100" s="2" t="str">
        <x:v>PRODUCT_LABEL_REQUIRED</x:v>
      </x:c>
      <x:c r="I100" s="2" t="str">
        <x:v>https://nlc.chinanutri.cn/fq/foodinfo/958.html</x:v>
      </x:c>
      <x:c r="J100" s="2" t="str">
        <x:v>按包装净含量g记录；精确营养以实际产品标签为准；不得自动ml↔g换算。</x:v>
      </x:c>
    </x:row>
    <x:row r="101">
      <x:c r="A101" s="2" t="str">
        <x:v>S005</x:v>
      </x:c>
      <x:c r="B101" s="2" t="str">
        <x:v>无糖酸奶+核桃</x:v>
      </x:c>
      <x:c r="C101" s="2" t="str">
        <x:v>ING047</x:v>
      </x:c>
      <x:c r="D101" s="2" t="str">
        <x:v>核桃</x:v>
      </x:c>
      <x:c r="E101" s="2" t="n">
        <x:v>10</x:v>
      </x:c>
      <x:c r="F101" s="2" t="str">
        <x:v>g</x:v>
      </x:c>
      <x:c r="G101" s="2" t="str">
        <x:v>edible_kernel_weight</x:v>
      </x:c>
      <x:c r="H101" s="2" t="str">
        <x:v>CDC_EXACT</x:v>
      </x:c>
      <x:c r="I101" s="2" t="str">
        <x:v>https://nlc.chinanutri.cn/fq/foodinfo/743.html</x:v>
      </x:c>
      <x:c r="J101" s="2" t="str"/>
    </x:row>
    <x:row r="102">
      <x:c r="A102" s="2" t="str">
        <x:v>S006</x:v>
      </x:c>
      <x:c r="B102" s="2" t="str">
        <x:v>低脂奶+橙</x:v>
      </x:c>
      <x:c r="C102" s="2" t="str">
        <x:v>ING021</x:v>
      </x:c>
      <x:c r="D102" s="2" t="str">
        <x:v>低脂牛奶</x:v>
      </x:c>
      <x:c r="E102" s="2" t="n">
        <x:v>200</x:v>
      </x:c>
      <x:c r="F102" s="2" t="str">
        <x:v>ml</x:v>
      </x:c>
      <x:c r="G102" s="2" t="str">
        <x:v>package_volume（包装/量具容量）</x:v>
      </x:c>
      <x:c r="H102" s="2" t="str">
        <x:v>PRODUCT_LABEL_REQUIRED</x:v>
      </x:c>
      <x:c r="I102" s="2" t="str">
        <x:v>https://nlc.chinanutri.cn/fq/foodinfo/927.html</x:v>
      </x:c>
      <x:c r="J102" s="2" t="str">
        <x:v>精确营养计算应优先使用实际产品标签。</x:v>
      </x:c>
    </x:row>
    <x:row r="103">
      <x:c r="A103" s="2" t="str">
        <x:v>S006</x:v>
      </x:c>
      <x:c r="B103" s="2" t="str">
        <x:v>低脂奶+橙</x:v>
      </x:c>
      <x:c r="C103" s="2" t="str">
        <x:v>ING041</x:v>
      </x:c>
      <x:c r="D103" s="2" t="str">
        <x:v>橙</x:v>
      </x:c>
      <x:c r="E103" s="2" t="n">
        <x:v>150</x:v>
      </x:c>
      <x:c r="F103" s="2" t="str">
        <x:v>g</x:v>
      </x:c>
      <x:c r="G103" s="2" t="str">
        <x:v>raw_edible_weight（烹调前可食部）</x:v>
      </x:c>
      <x:c r="H103" s="2" t="str">
        <x:v>CDC_EXACT</x:v>
      </x:c>
      <x:c r="I103" s="2" t="str">
        <x:v>https://nlc.chinanutri.cn/fq/foodinfo/704.html</x:v>
      </x:c>
      <x:c r="J103" s="2" t="str"/>
    </x:row>
    <x:row r="104">
      <x:c r="A104" s="2" t="str">
        <x:v>S007</x:v>
      </x:c>
      <x:c r="B104" s="2" t="str">
        <x:v>苹果+杏仁</x:v>
      </x:c>
      <x:c r="C104" s="2" t="str">
        <x:v>ING043</x:v>
      </x:c>
      <x:c r="D104" s="2" t="str">
        <x:v>苹果</x:v>
      </x:c>
      <x:c r="E104" s="2" t="n">
        <x:v>150</x:v>
      </x:c>
      <x:c r="F104" s="2" t="str">
        <x:v>g</x:v>
      </x:c>
      <x:c r="G104" s="2" t="str">
        <x:v>raw_edible_weight（烹调前可食部）</x:v>
      </x:c>
      <x:c r="H104" s="2" t="str">
        <x:v>CDC_EXACT</x:v>
      </x:c>
      <x:c r="I104" s="2" t="str">
        <x:v>https://nlc.chinanutri.cn/fq/foodinfo/613.html</x:v>
      </x:c>
      <x:c r="J104" s="2" t="str"/>
    </x:row>
    <x:row r="105">
      <x:c r="A105" s="2" t="str">
        <x:v>S007</x:v>
      </x:c>
      <x:c r="B105" s="2" t="str">
        <x:v>苹果+杏仁</x:v>
      </x:c>
      <x:c r="C105" s="2" t="str">
        <x:v>ING046</x:v>
      </x:c>
      <x:c r="D105" s="2" t="str">
        <x:v>杏仁</x:v>
      </x:c>
      <x:c r="E105" s="2" t="n">
        <x:v>10</x:v>
      </x:c>
      <x:c r="F105" s="2" t="str">
        <x:v>g</x:v>
      </x:c>
      <x:c r="G105" s="2" t="str">
        <x:v>edible_kernel_weight（可食仁净重）</x:v>
      </x:c>
      <x:c r="H105" s="2" t="str">
        <x:v>IDENTITY_REVIEW_REQUIRED</x:v>
      </x:c>
      <x:c r="I105" s="2" t="str">
        <x:v>https://nlc.chinanutri.cn/fq/foodinfo/752.html</x:v>
      </x:c>
      <x:c r="J105" s="2" t="str"/>
    </x:row>
    <x:row r="106">
      <x:c r="A106" s="2" t="str">
        <x:v>S008</x:v>
      </x:c>
      <x:c r="B106" s="2" t="str">
        <x:v>鲜玉米+低脂奶</x:v>
      </x:c>
      <x:c r="C106" s="2" t="str">
        <x:v>ING007</x:v>
      </x:c>
      <x:c r="D106" s="2" t="str">
        <x:v>玉米鲜</x:v>
      </x:c>
      <x:c r="E106" s="2" t="n">
        <x:v>100</x:v>
      </x:c>
      <x:c r="F106" s="2" t="str">
        <x:v>g</x:v>
      </x:c>
      <x:c r="G106" s="2" t="str">
        <x:v>raw_edible_weight（烹调前可食部）</x:v>
      </x:c>
      <x:c r="H106" s="2" t="str">
        <x:v>CDC_EXACT</x:v>
      </x:c>
      <x:c r="I106" s="2" t="str">
        <x:v>https://nlc.chinanutri.cn/fq/foodinfo/292.html</x:v>
      </x:c>
      <x:c r="J106" s="2" t="str"/>
    </x:row>
    <x:row r="107">
      <x:c r="A107" s="2" t="str">
        <x:v>S008</x:v>
      </x:c>
      <x:c r="B107" s="2" t="str">
        <x:v>鲜玉米+低脂奶</x:v>
      </x:c>
      <x:c r="C107" s="2" t="str">
        <x:v>ING021</x:v>
      </x:c>
      <x:c r="D107" s="2" t="str">
        <x:v>低脂牛奶</x:v>
      </x:c>
      <x:c r="E107" s="2" t="n">
        <x:v>150</x:v>
      </x:c>
      <x:c r="F107" s="2" t="str">
        <x:v>ml</x:v>
      </x:c>
      <x:c r="G107" s="2" t="str">
        <x:v>package_volume（包装/量具容量）</x:v>
      </x:c>
      <x:c r="H107" s="2" t="str">
        <x:v>PRODUCT_LABEL_REQUIRED</x:v>
      </x:c>
      <x:c r="I107" s="2" t="str">
        <x:v>https://nlc.chinanutri.cn/fq/foodinfo/927.html</x:v>
      </x:c>
      <x:c r="J107" s="2" t="str">
        <x:v>精确营养计算应优先使用实际产品标签。</x:v>
      </x:c>
    </x:row>
    <x:row r="108">
      <x:c r="A108" s="2" t="str">
        <x:v>S009</x:v>
      </x:c>
      <x:c r="B108" s="2" t="str">
        <x:v>水煮蛋+小番茄</x:v>
      </x:c>
      <x:c r="C108" s="2" t="str">
        <x:v>ING019</x:v>
      </x:c>
      <x:c r="D108" s="2" t="str">
        <x:v>鸡蛋</x:v>
      </x:c>
      <x:c r="E108" s="2" t="n">
        <x:v>50</x:v>
      </x:c>
      <x:c r="F108" s="2" t="str">
        <x:v>g</x:v>
      </x:c>
      <x:c r="G108" s="2" t="str">
        <x:v>whole_unit + edible_weight</x:v>
      </x:c>
      <x:c r="H108" s="2" t="str">
        <x:v>CDC_EXACT</x:v>
      </x:c>
      <x:c r="I108" s="2" t="str">
        <x:v>https://nlc.chinanutri.cn/fq/foodinfo/978.html</x:v>
      </x:c>
      <x:c r="J108" s="2" t="str"/>
    </x:row>
    <x:row r="109">
      <x:c r="A109" s="2" t="str">
        <x:v>S009</x:v>
      </x:c>
      <x:c r="B109" s="2" t="str">
        <x:v>水煮蛋+小番茄</x:v>
      </x:c>
      <x:c r="C109" s="2" t="str">
        <x:v>ING031</x:v>
      </x:c>
      <x:c r="D109" s="2" t="str">
        <x:v>番茄</x:v>
      </x:c>
      <x:c r="E109" s="2" t="n">
        <x:v>150</x:v>
      </x:c>
      <x:c r="F109" s="2" t="str">
        <x:v>g</x:v>
      </x:c>
      <x:c r="G109" s="2" t="str">
        <x:v>raw_edible_weight（烹调前可食部）</x:v>
      </x:c>
      <x:c r="H109" s="2" t="str">
        <x:v>CDC_EXACT</x:v>
      </x:c>
      <x:c r="I109" s="2" t="str">
        <x:v>https://nlc.chinanutri.cn/fq/foodinfo/405.html</x:v>
      </x:c>
      <x:c r="J109" s="2" t="str"/>
    </x:row>
    <x:row r="110">
      <x:c r="A110" s="2" t="str">
        <x:v>S010</x:v>
      </x:c>
      <x:c r="B110" s="2" t="str">
        <x:v>猕猴桃+无糖酸奶</x:v>
      </x:c>
      <x:c r="C110" s="2" t="str">
        <x:v>ING042</x:v>
      </x:c>
      <x:c r="D110" s="2" t="str">
        <x:v>猕猴桃</x:v>
      </x:c>
      <x:c r="E110" s="2" t="n">
        <x:v>100</x:v>
      </x:c>
      <x:c r="F110" s="2" t="str">
        <x:v>g</x:v>
      </x:c>
      <x:c r="G110" s="2" t="str">
        <x:v>raw_edible_weight（烹调前可食部）</x:v>
      </x:c>
      <x:c r="H110" s="2" t="str">
        <x:v>CDC_EXACT</x:v>
      </x:c>
      <x:c r="I110" s="2" t="str">
        <x:v>https://nlc.chinanutri.cn/fq/foodinfo/700.html</x:v>
      </x:c>
      <x:c r="J110" s="2" t="str"/>
    </x:row>
    <x:row r="111">
      <x:c r="A111" s="2" t="str">
        <x:v>S010</x:v>
      </x:c>
      <x:c r="B111" s="2" t="str">
        <x:v>猕猴桃+无糖酸奶</x:v>
      </x:c>
      <x:c r="C111" s="2" t="str">
        <x:v>ING022</x:v>
      </x:c>
      <x:c r="D111" s="2" t="str">
        <x:v>无糖酸奶</x:v>
      </x:c>
      <x:c r="E111" s="2" t="n">
        <x:v>150</x:v>
      </x:c>
      <x:c r="F111" s="2" t="str">
        <x:v>g</x:v>
      </x:c>
      <x:c r="G111" s="2" t="str">
        <x:v>package_net_weight</x:v>
      </x:c>
      <x:c r="H111" s="2" t="str">
        <x:v>PRODUCT_LABEL_REQUIRED</x:v>
      </x:c>
      <x:c r="I111" s="2" t="str">
        <x:v>https://nlc.chinanutri.cn/fq/foodinfo/958.html</x:v>
      </x:c>
      <x:c r="J111" s="2" t="str">
        <x:v>按包装净含量g记录；精确营养以实际产品标签为准；不得自动ml↔g换算。</x:v>
      </x:c>
    </x:row>
  </x:sheetData>
  <x:pageMargins left="0.7" right="0.7" top="0.75" bottom="0.75" header="0.3" footer="0.3"/>
  <x:tableParts count="1">
    <x:tablePart xmlns:r="http://schemas.openxmlformats.org/officeDocument/2006/relationships" r:id="Ra6ce17c31b4c4be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72" hidden="0" customWidth="1"/>
    <x:col min="4" max="4" width="14" hidden="0" customWidth="1"/>
    <x:col min="5" max="5" width="28" hidden="0" customWidth="1"/>
  </x:cols>
  <x:sheetData>
    <x:row r="1">
      <x:c r="A1" s="7" t="str">
        <x:v>规则ID</x:v>
      </x:c>
      <x:c r="B1" s="7" t="str">
        <x:v>主题</x:v>
      </x:c>
      <x:c r="C1" s="7" t="str">
        <x:v>规则内容</x:v>
      </x:c>
      <x:c r="D1" s="7" t="str">
        <x:v>性质</x:v>
      </x:c>
      <x:c r="E1" s="7" t="str">
        <x:v>依据</x:v>
      </x:c>
    </x:row>
    <x:row r="2">
      <x:c r="A2" s="2" t="str">
        <x:v>DISH-01</x:v>
      </x:c>
      <x:c r="B2" s="2" t="str">
        <x:v>身份</x:v>
      </x:c>
      <x:c r="C2" s="2" t="str">
        <x:v>49组件可自然满足时优先STANDARD_COMPONENT；否则允许AI_GENERATED_DISH。</x:v>
      </x:c>
      <x:c r="D2" s="2" t="str">
        <x:v>硬规则</x:v>
      </x:c>
      <x:c r="E2" s="2" t="str">
        <x:v>02现有双通道逻辑</x:v>
      </x:c>
    </x:row>
    <x:row r="3">
      <x:c r="A3" s="2" t="str">
        <x:v>DISH-02</x:v>
      </x:c>
      <x:c r="B3" s="2" t="str">
        <x:v>食材来源</x:v>
      </x:c>
      <x:c r="C3" s="2" t="str">
        <x:v>AI_GENERATED_DISH原则上只从当前ACTIVE/允许的Ingredient Master选择原料。</x:v>
      </x:c>
      <x:c r="D3" s="2" t="str">
        <x:v>硬规则</x:v>
      </x:c>
      <x:c r="E3" s="2" t="str">
        <x:v>本基础食材层</x:v>
      </x:c>
    </x:row>
    <x:row r="4">
      <x:c r="A4" s="2" t="str">
        <x:v>DISH-03</x:v>
      </x:c>
      <x:c r="B4" s="2" t="str">
        <x:v>库外原料</x:v>
      </x:c>
      <x:c r="C4" s="2" t="str">
        <x:v>若AI需要Ingredient Master之外的普通食材，先建PLAN_LOCAL_INGREDIENT_CANDIDATE；状态PENDING_REVIEW/NEEDS_RECALC，不得直接进入正式EXACT闭合。</x:v>
      </x:c>
      <x:c r="D4" s="2" t="str">
        <x:v>硬规则</x:v>
      </x:c>
      <x:c r="E4" s="2" t="str">
        <x:v>安全+可追溯性</x:v>
      </x:c>
    </x:row>
    <x:row r="5">
      <x:c r="A5" s="2" t="str">
        <x:v>DISH-04</x:v>
      </x:c>
      <x:c r="B5" s="2" t="str">
        <x:v>候选克重</x:v>
      </x:c>
      <x:c r="C5" s="2" t="str">
        <x:v>AI可以生成algorithmic_grams，但必须受每个ingredient的candidate_min/max/step、离散单位、包装规则约束。</x:v>
      </x:c>
      <x:c r="D5" s="2" t="str">
        <x:v>硬规则</x:v>
      </x:c>
      <x:c r="E5" s="2" t="str">
        <x:v>本基础食材层</x:v>
      </x:c>
    </x:row>
    <x:row r="6">
      <x:c r="A6" s="2" t="str">
        <x:v>DISH-05</x:v>
      </x:c>
      <x:c r="B6" s="2" t="str">
        <x:v>执行化</x:v>
      </x:c>
      <x:c r="C6" s="2" t="str">
        <x:v>患者/医生最终看到executable_grams/ml/个；不得把0.75份、1.25份等内部scale作为唯一执行量。</x:v>
      </x:c>
      <x:c r="D6" s="2" t="str">
        <x:v>硬规则</x:v>
      </x:c>
      <x:c r="E6" s="2" t="str">
        <x:v>02 executable_portion</x:v>
      </x:c>
    </x:row>
    <x:row r="7">
      <x:c r="A7" s="2" t="str">
        <x:v>DISH-06</x:v>
      </x:c>
      <x:c r="B7" s="2" t="str">
        <x:v>离散食物</x:v>
      </x:c>
      <x:c r="C7" s="2" t="str">
        <x:v>鸡蛋等离散食物按整枚；包装奶/酸奶/豆浆按实际包装/量具档位；禁止0.75个鸡蛋等伪精确量。</x:v>
      </x:c>
      <x:c r="D7" s="2" t="str">
        <x:v>硬规则</x:v>
      </x:c>
      <x:c r="E7" s="2" t="str">
        <x:v>家庭可执行性</x:v>
      </x:c>
    </x:row>
    <x:row r="8">
      <x:c r="A8" s="2" t="str">
        <x:v>DISH-07</x:v>
      </x:c>
      <x:c r="B8" s="2" t="str">
        <x:v>营养计算</x:v>
      </x:c>
      <x:c r="C8" s="2" t="str">
        <x:v>AI不自行伪造精确kcal/P/C/F；按食材实际执行量调用项目认可营养数据源逐项重算。</x:v>
      </x:c>
      <x:c r="D8" s="2" t="str">
        <x:v>硬规则</x:v>
      </x:c>
      <x:c r="E8" s="2" t="str">
        <x:v>02 EXACT模式</x:v>
      </x:c>
    </x:row>
    <x:row r="9">
      <x:c r="A9" s="2" t="str">
        <x:v>DISH-08</x:v>
      </x:c>
      <x:c r="B9" s="2" t="str">
        <x:v>执行化后重算</x:v>
      </x:c>
      <x:c r="C9" s="2" t="str">
        <x:v>任何取整、包装映射、食材替换、配方比例改变后，必须重算单餐和全天营养。</x:v>
      </x:c>
      <x:c r="D9" s="2" t="str">
        <x:v>硬规则</x:v>
      </x:c>
      <x:c r="E9" s="2" t="str">
        <x:v>02 V4.1</x:v>
      </x:c>
    </x:row>
    <x:row r="10">
      <x:c r="A10" s="2" t="str">
        <x:v>DISH-09</x:v>
      </x:c>
      <x:c r="B10" s="2" t="str">
        <x:v>营养源优先级</x:v>
      </x:c>
      <x:c r="C10" s="2" t="str">
        <x:v>实际产品标签/院内认可数据库 &gt; 精确CDC条目 &gt; MDT确认项目参考值；无法匹配时NEEDS_RECALC。</x:v>
      </x:c>
      <x:c r="D10" s="2" t="str">
        <x:v>候选规则</x:v>
      </x:c>
      <x:c r="E10" s="2" t="str">
        <x:v>本次证据整合</x:v>
      </x:c>
    </x:row>
    <x:row r="11">
      <x:c r="A11" s="2" t="str">
        <x:v>DISH-10</x:v>
      </x:c>
      <x:c r="B11" s="2" t="str">
        <x:v>安全过滤</x:v>
      </x:c>
      <x:c r="C11" s="2" t="str">
        <x:v>过敏、不耐受、疾病限制、吞咽/咀嚼/质地要求必须在生成食材前过滤，不得生成后靠免责声明补救。</x:v>
      </x:c>
      <x:c r="D11" s="2" t="str">
        <x:v>硬规则</x:v>
      </x:c>
      <x:c r="E11" s="2" t="str">
        <x:v>02现有规则</x:v>
      </x:c>
    </x:row>
    <x:row r="12">
      <x:c r="A12" s="2" t="str">
        <x:v>DISH-11</x:v>
      </x:c>
      <x:c r="B12" s="2" t="str">
        <x:v>D/E恢复</x:v>
      </x:c>
      <x:c r="C12" s="2" t="str">
        <x:v>D/E有摄入下降、早饱或恶心时：主蛋白+主食优先、小份熟软蔬菜、提高营养密度而非盲目增大总体积。</x:v>
      </x:c>
      <x:c r="D12" s="2" t="str">
        <x:v>临床规则</x:v>
      </x:c>
      <x:c r="E12" s="2" t="str">
        <x:v>ERAS/ESPEN+02现有D/E规则</x:v>
      </x:c>
    </x:row>
    <x:row r="13">
      <x:c r="A13" s="2" t="str">
        <x:v>DISH-12</x:v>
      </x:c>
      <x:c r="B13" s="2" t="str">
        <x:v>F简化</x:v>
      </x:c>
      <x:c r="C13" s="2" t="str">
        <x:v>F overlay可减少菜品数、重复2–3套简单餐型；不能降低底层A–E营养方向或删除必要蛋白/能量结构。</x:v>
      </x:c>
      <x:c r="D13" s="2" t="str">
        <x:v>临床规则</x:v>
      </x:c>
      <x:c r="E13" s="2" t="str">
        <x:v>01/02现有F规则</x:v>
      </x:c>
    </x:row>
    <x:row r="14">
      <x:c r="A14" s="2" t="str">
        <x:v>DISH-13</x:v>
      </x:c>
      <x:c r="B14" s="2" t="str">
        <x:v>新菜对象</x:v>
      </x:c>
      <x:c r="C14" s="2" t="str">
        <x:v>每个新菜必须有generated_dish_id、结构化ingredients、每个ingredient_id、algorithmic_grams、executable_grams、weight_basis、nutrition_status。</x:v>
      </x:c>
      <x:c r="D14" s="2" t="str">
        <x:v>硬规则</x:v>
      </x:c>
      <x:c r="E14" s="2" t="str">
        <x:v>02 FULL trace</x:v>
      </x:c>
    </x:row>
    <x:row r="15">
      <x:c r="A15" s="2" t="str">
        <x:v>DISH-14</x:v>
      </x:c>
      <x:c r="B15" s="2" t="str">
        <x:v>审核</x:v>
      </x:c>
      <x:c r="C15" s="2" t="str">
        <x:v>AI_GENERATED_DISH可在计划内PENDING_REVIEW；只有营养重算、安全校验、医护批准后才可APPROVED_FOR_PLAN/PUBLISHED。</x:v>
      </x:c>
      <x:c r="D15" s="2" t="str">
        <x:v>硬规则</x:v>
      </x:c>
      <x:c r="E15" s="2" t="str">
        <x:v>02现有治理</x:v>
      </x:c>
    </x:row>
    <x:row r="16">
      <x:c r="A16" s="2" t="str">
        <x:v>DISH-15</x:v>
      </x:c>
      <x:c r="B16" s="2" t="str">
        <x:v>全局知识库</x:v>
      </x:c>
      <x:c r="C16" s="2" t="str">
        <x:v>某个计划内新菜获APPROVED_FOR_PLAN不等于自动升级为全局ACTIVE菜品；是否标准化另走MDT知识库流程。</x:v>
      </x:c>
      <x:c r="D16" s="2" t="str">
        <x:v>治理</x:v>
      </x:c>
      <x:c r="E16" s="2" t="str">
        <x:v>02现有治理</x:v>
      </x:c>
    </x:row>
    <x:row r="17">
      <x:c r="A17" s="2"/>
      <x:c r="B17" s="2"/>
      <x:c r="C17" s="2"/>
      <x:c r="D17" s="2"/>
      <x:c r="E17" s="2"/>
    </x:row>
    <x:row r="18">
      <x:c r="A18" s="2"/>
      <x:c r="B18" s="2"/>
      <x:c r="C18" s="2"/>
      <x:c r="D18" s="2"/>
      <x:c r="E18" s="2"/>
    </x:row>
    <x:row r="19">
      <x:c r="A19" s="21" t="str">
        <x:v>示例字段</x:v>
      </x:c>
      <x:c r="B19" s="21" t="str">
        <x:v>示例值/要求</x:v>
      </x:c>
      <x:c r="C19" s="2"/>
      <x:c r="D19" s="2"/>
      <x:c r="E19" s="2"/>
    </x:row>
    <x:row r="20">
      <x:c r="A20" s="2" t="str">
        <x:v>food_item_type</x:v>
      </x:c>
      <x:c r="B20" s="2" t="str">
        <x:v>AI_GENERATED_DISH</x:v>
      </x:c>
      <x:c r="C20" s="2"/>
      <x:c r="D20" s="2"/>
      <x:c r="E20" s="2"/>
    </x:row>
    <x:row r="21">
      <x:c r="A21" s="2" t="str">
        <x:v>generated_dish_id</x:v>
      </x:c>
      <x:c r="B21" s="2" t="str">
        <x:v>GD-&lt;plan_id&gt;-D&lt;day&gt;-&lt;meal&gt;-&lt;seq&gt;</x:v>
      </x:c>
      <x:c r="C21" s="2"/>
      <x:c r="D21" s="2"/>
      <x:c r="E21" s="2"/>
    </x:row>
    <x:row r="22">
      <x:c r="A22" s="2" t="str">
        <x:v>dish_name</x:v>
      </x:c>
      <x:c r="B22" s="2" t="str">
        <x:v>例如：南瓜鸡肉软饭</x:v>
      </x:c>
      <x:c r="C22" s="2"/>
      <x:c r="D22" s="2"/>
      <x:c r="E22" s="2"/>
    </x:row>
    <x:row r="23">
      <x:c r="A23" s="2" t="str">
        <x:v>ingredients[].ingredient_id</x:v>
      </x:c>
      <x:c r="B23" s="2" t="str">
        <x:v>必须映射Ingredient Master；库外则PLAN_LOCAL_INGREDIENT_CANDIDATE</x:v>
      </x:c>
      <x:c r="C23" s="2"/>
      <x:c r="D23" s="2"/>
      <x:c r="E23" s="2"/>
    </x:row>
    <x:row r="24">
      <x:c r="A24" s="2" t="str">
        <x:v>ingredients[].algorithmic_grams</x:v>
      </x:c>
      <x:c r="B24" s="2" t="str">
        <x:v>AI候选值；受min/max约束</x:v>
      </x:c>
      <x:c r="C24" s="2"/>
      <x:c r="D24" s="2"/>
      <x:c r="E24" s="2"/>
    </x:row>
    <x:row r="25">
      <x:c r="A25" s="2" t="str">
        <x:v>ingredients[].executable_grams</x:v>
      </x:c>
      <x:c r="B25" s="2" t="str">
        <x:v>按step/离散/包装规则执行化后的值</x:v>
      </x:c>
      <x:c r="C25" s="2"/>
      <x:c r="D25" s="2"/>
      <x:c r="E25" s="2"/>
    </x:row>
    <x:row r="26">
      <x:c r="A26" s="2" t="str">
        <x:v>ingredients[].weight_basis</x:v>
      </x:c>
      <x:c r="B26" s="2" t="str">
        <x:v>从Ingredient Master继承</x:v>
      </x:c>
      <x:c r="C26" s="2"/>
      <x:c r="D26" s="2"/>
      <x:c r="E26" s="2"/>
    </x:row>
    <x:row r="27">
      <x:c r="A27" s="2" t="str">
        <x:v>nutrition_status</x:v>
      </x:c>
      <x:c r="B27" s="2" t="str">
        <x:v>CALCULATED | NEEDS_RECALC</x:v>
      </x:c>
      <x:c r="C27" s="2"/>
      <x:c r="D27" s="2"/>
      <x:c r="E27" s="2"/>
    </x:row>
    <x:row r="28">
      <x:c r="A28" s="2" t="str">
        <x:v>plan_item_review_status</x:v>
      </x:c>
      <x:c r="B28" s="2" t="str">
        <x:v>PENDING_REVIEW | APPROVED_FOR_PLAN | REJECTED</x:v>
      </x:c>
      <x:c r="C28" s="2"/>
      <x:c r="D28" s="2"/>
      <x:c r="E28" s="2"/>
    </x:row>
    <x:row r="29">
      <x:c r="A29" s="2"/>
      <x:c r="B29" s="2"/>
      <x:c r="C29" s="2"/>
      <x:c r="D29" s="2"/>
      <x:c r="E29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65" hidden="0" customWidth="1"/>
    <x:col min="4" max="4" width="65" hidden="0" customWidth="1"/>
    <x:col min="5" max="5" width="65" hidden="0" customWidth="1"/>
    <x:col min="6" max="6" width="16" hidden="0" customWidth="1"/>
  </x:cols>
  <x:sheetData>
    <x:row r="1">
      <x:c r="A1" s="7" t="str">
        <x:v>来源ID</x:v>
      </x:c>
      <x:c r="B1" s="7" t="str">
        <x:v>来源</x:v>
      </x:c>
      <x:c r="C1" s="7" t="str">
        <x:v>支持内容</x:v>
      </x:c>
      <x:c r="D1" s="7" t="str">
        <x:v>不应过度解释为</x:v>
      </x:c>
      <x:c r="E1" s="7" t="str">
        <x:v>URL</x:v>
      </x:c>
      <x:c r="F1" s="7" t="str">
        <x:v>类型</x:v>
      </x:c>
    </x:row>
    <x:row r="2">
      <x:c r="A2" s="2" t="str">
        <x:v>SRC01</x:v>
      </x:c>
      <x:c r="B2" s="2" t="str">
        <x:v>T/CNSS 020—2023《食物交换份》</x:v>
      </x:c>
      <x:c r="C2" s="2" t="str">
        <x:v>食物交换份是同类食物等能量交换工具；约90 kcal/份，给出谷薯、肉蛋水产、蔬菜、水果、豆乳、油脂等参考重量。</x:v>
      </x:c>
      <x:c r="D2" s="2" t="str">
        <x:v>用于类别与交换量合理性校核；不直接规定ZXY每个基础食材min/max/step。</x:v>
      </x:c>
      <x:c r="E2" s="2" t="str">
        <x:v>https://www.cnssci.net/uploads/allimg/20240607/1-24060G41PM29.pdf</x:v>
      </x:c>
      <x:c r="F2" s="2" t="str">
        <x:v>标准</x:v>
      </x:c>
    </x:row>
    <x:row r="3">
      <x:c r="A3" s="2" t="str">
        <x:v>SRC02</x:v>
      </x:c>
      <x:c r="B3" s="2" t="str">
        <x:v>中国居民膳食指南（2022）</x:v>
      </x:c>
      <x:c r="C3" s="2" t="str">
        <x:v>成年人蔬菜≥300g/d、水果200–350g/d、奶类相当于液态奶≥300ml/d；谷类/全谷/薯类、鱼禽蛋瘦肉有食物组建议。</x:v>
      </x:c>
      <x:c r="D3" s="2" t="str">
        <x:v>用于全日食物组和单餐体积合理性校核；不直接给逐食材处方上下限。</x:v>
      </x:c>
      <x:c r="E3" s="2" t="str">
        <x:v>https://dg.cnsoc.org/article/04/70JvPbFmTlyZbjoO67LeRg.html</x:v>
      </x:c>
      <x:c r="F3" s="2" t="str">
        <x:v>指南</x:v>
      </x:c>
    </x:row>
    <x:row r="4">
      <x:c r="A4" s="2" t="str">
        <x:v>SRC03</x:v>
      </x:c>
      <x:c r="B4" s="2" t="str">
        <x:v>国家卫生健康委成人肥胖食养指南（2024年版）</x:v>
      </x:c>
      <x:c r="C4" s="2" t="str">
        <x:v>强调个体化食养、合理能量控制及食物交换等配餐工具。</x:v>
      </x:c>
      <x:c r="D4" s="2" t="str">
        <x:v>用于A/B减脂和个体化配餐原则；不替代围手术期营养风险判断。</x:v>
      </x:c>
      <x:c r="E4" s="2" t="str">
        <x:v>https://www.nhc.gov.cn/sps/c100088/202402/9ba512ba8e314a47a181db11d2fa188d.shtml</x:v>
      </x:c>
      <x:c r="F4" s="2" t="str">
        <x:v>国家指南</x:v>
      </x:c>
    </x:row>
    <x:row r="5">
      <x:c r="A5" s="2" t="str">
        <x:v>SRC04</x:v>
      </x:c>
      <x:c r="B5" s="2" t="str">
        <x:v>中国疾控中心营养与健康所 食物营养成分查询平台</x:v>
      </x:c>
      <x:c r="C5" s="2" t="str">
        <x:v>提供中国食物成分数据及食部、能量、蛋白、脂肪、碳水等。</x:v>
      </x:c>
      <x:c r="D5" s="2" t="str">
        <x:v>本表逐原料优先匹配此平台；产品性食物仍优先实际营养标签。</x:v>
      </x:c>
      <x:c r="E5" s="2" t="str">
        <x:v>https://nlc.chinanutri.cn/fq/</x:v>
      </x:c>
      <x:c r="F5" s="2" t="str">
        <x:v>国家数据库</x:v>
      </x:c>
    </x:row>
    <x:row r="6">
      <x:c r="A6" s="2" t="str">
        <x:v>SRC06</x:v>
      </x:c>
      <x:c r="B6" s="2" t="str">
        <x:v>ESPEN guideline on clinical nutrition in surgery – Update 2025</x:v>
      </x:c>
      <x:c r="C6" s="2" t="str">
        <x:v>强调围手术期早期识别营养风险、避免摄入不足并进行个体化营养支持。</x:v>
      </x:c>
      <x:c r="D6" s="2" t="str">
        <x:v>支持D/E营养恢复与安全覆盖；不直接规定单食材执行步长。</x:v>
      </x:c>
      <x:c r="E6" s="2" t="str">
        <x:v>https://doi.org/10.1016/j.clnu.2025.08.029</x:v>
      </x:c>
      <x:c r="F6" s="2" t="str">
        <x:v>国际指南</x:v>
      </x:c>
    </x:row>
    <x:row r="7">
      <x:c r="A7" s="2" t="str">
        <x:v>SRC07</x:v>
      </x:c>
      <x:c r="B7" s="2" t="str">
        <x:v>国家卫生健康委 成人糖尿病/高脂血症/高血压食养指南（2023年版）</x:v>
      </x:c>
      <x:c r="C7" s="2" t="str">
        <x:v>用于控糖、血脂与控盐候选分级和产品标签复核。</x:v>
      </x:c>
      <x:c r="D7" s="2" t="str">
        <x:v>不得把食养指南替代个体治疗目标、药物与合并症评估。</x:v>
      </x:c>
      <x:c r="E7" s="2" t="str">
        <x:v>https://www.nhc.gov.cn/sps/c100088/202301/f01895a06c5349ef999f25da833c166d.shtml</x:v>
      </x:c>
      <x:c r="F7" s="2" t="str">
        <x:v>国家指南</x:v>
      </x:c>
    </x:row>
    <x:row r="8">
      <x:c r="A8" s="2" t="str">
        <x:v>SRC08</x:v>
      </x:c>
      <x:c r="B8" s="2" t="str">
        <x:v>国家卫生健康委 成人高尿酸血症与痛风/慢性肾脏病食养指南（2024年版）</x:v>
      </x:c>
      <x:c r="C8" s="2" t="str">
        <x:v>用于病期、蛋白/嘌呤与特殊肾功能限制复核。</x:v>
      </x:c>
      <x:c r="D8" s="2" t="str">
        <x:v>不得按单一食材做绝对化判断；需结合病期、肾功能和全天总量。</x:v>
      </x:c>
      <x:c r="E8" s="2" t="str">
        <x:v>https://www.nhc.gov.cn/sps/c100088/202402/9ba512ba8e314a47a181db11d2fa188d.shtml</x:v>
      </x:c>
      <x:c r="F8" s="2" t="str">
        <x:v>国家指南</x:v>
      </x:c>
    </x:row>
    <x:row r="9">
      <x:c r="A9" s="2"/>
      <x:c r="B9" s="2"/>
      <x:c r="C9" s="2"/>
      <x:c r="D9" s="2"/>
      <x:c r="E9" s="2"/>
      <x:c r="F9" s="2"/>
    </x:row>
    <x:row r="10">
      <x:c r="A10" s="21" t="str">
        <x:v>nutrition_source_status</x:v>
      </x:c>
      <x:c r="B10" s="21" t="str">
        <x:v>含义</x:v>
      </x:c>
      <x:c r="C10" s="2"/>
      <x:c r="D10" s="2"/>
      <x:c r="E10" s="2"/>
      <x:c r="F10" s="2"/>
    </x:row>
    <x:row r="11">
      <x:c r="A11" s="2" t="str">
        <x:v>CDC_EXACT</x:v>
      </x:c>
      <x:c r="B11" s="2" t="str">
        <x:v>已匹配中国疾控营养查询平台具体食物条目，可作为MDT审核候选营养源。</x:v>
      </x:c>
      <x:c r="C11" s="2"/>
      <x:c r="D11" s="2"/>
      <x:c r="E11" s="2"/>
      <x:c r="F11" s="2"/>
    </x:row>
    <x:row r="12">
      <x:c r="A12" s="2" t="str">
        <x:v>PRODUCT_LABEL_REQUIRED</x:v>
      </x:c>
      <x:c r="B12" s="2" t="str">
        <x:v>预包装/加工食物差异大，EXACT模式应绑定实际产品标签；数据库均值只作参考。</x:v>
      </x:c>
      <x:c r="C12" s="2"/>
      <x:c r="D12" s="2"/>
      <x:c r="E12" s="2"/>
      <x:c r="F12" s="2"/>
    </x:row>
    <x:row r="13">
      <x:c r="A13" s="2" t="str">
        <x:v>PROJECT_REFERENCE_PENDING_MDT</x:v>
      </x:c>
      <x:c r="B13" s="2" t="str">
        <x:v>当前只有项目既有参考值或未找到足够精确CDC条目，需MDT确认。</x:v>
      </x:c>
      <x:c r="C13" s="2"/>
      <x:c r="D13" s="2"/>
      <x:c r="E13" s="2"/>
      <x:c r="F13" s="2"/>
    </x:row>
    <x:row r="14">
      <x:c r="A14" s="2" t="str">
        <x:v>DERIVED_PROJECT_CANDIDATE_PENDING_MDT</x:v>
      </x:c>
      <x:c r="B14" s="2" t="str">
        <x:v>依据现有组件配方反推/推导，不是直接数据库条目，需MDT确认。</x:v>
      </x:c>
      <x:c r="C14" s="2"/>
      <x:c r="D14" s="2"/>
      <x:c r="E14" s="2"/>
      <x:c r="F14" s="2"/>
    </x:row>
    <x:row r="15">
      <x:c r="A15" s="2" t="str">
        <x:v>SPECIES_MATCH_REQUIRED</x:v>
      </x:c>
      <x:c r="B15" s="2" t="str">
        <x:v>食材大类已知但品种/商品未明确，精确计算前需匹配具体条目。</x:v>
      </x:c>
      <x:c r="C15" s="2"/>
      <x:c r="D15" s="2"/>
      <x:c r="E15" s="2"/>
      <x:c r="F15" s="2"/>
    </x:row>
    <x:row r="16">
      <x:c r="A16" s="2" t="str">
        <x:v>IDENTITY_REVIEW_REQUIRED</x:v>
      </x:c>
      <x:c r="B16" s="2" t="str">
        <x:v>当前食材名称/处理状态可能与数据库条目不完全一致，需先确认身份。</x:v>
      </x:c>
      <x:c r="C16" s="2"/>
      <x:c r="D16" s="2"/>
      <x:c r="E16" s="2"/>
      <x:c r="F16" s="2"/>
    </x:row>
    <x:row r="17">
      <x:c r="A17" s="2" t="str">
        <x:v>STANDARD_DERIVED_GENERIC</x:v>
      </x:c>
      <x:c r="B17" s="2" t="str">
        <x:v>宏量营养可用通用物理/营养关系候选，但细分品种仍需记录。</x:v>
      </x:c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" hidden="0" customWidth="1"/>
    <x:col min="3" max="3" width="20" hidden="0" customWidth="1"/>
    <x:col min="4" max="4" width="88" hidden="0" customWidth="1"/>
  </x:cols>
  <x:sheetData>
    <x:row r="1">
      <x:c r="A1" s="26" t="str">
        <x:v>对象</x:v>
      </x:c>
      <x:c r="B1" s="26" t="str">
        <x:v>优先级</x:v>
      </x:c>
      <x:c r="C1" s="26" t="str">
        <x:v>审核主题</x:v>
      </x:c>
      <x:c r="D1" s="26" t="str">
        <x:v>MDT需要确认</x:v>
      </x:c>
    </x:row>
    <x:row r="2">
      <x:c r="A2" s="2" t="str">
        <x:v>全局</x:v>
      </x:c>
      <x:c r="B2" s="2" t="str">
        <x:v>高</x:v>
      </x:c>
      <x:c r="C2" s="2" t="str">
        <x:v>重量口径</x:v>
      </x:c>
      <x:c r="D2" s="2" t="str">
        <x:v>确认谷物/面粉/干面用干/生重；肉鱼豆腐蔬果用烹调前可食部；奶/豆浆用ml；酸奶建议用包装净含量g；油用实际加入量。</x:v>
      </x:c>
    </x:row>
    <x:row r="3">
      <x:c r="A3" s="2" t="str">
        <x:v>全局</x:v>
      </x:c>
      <x:c r="B3" s="2" t="str">
        <x:v>高</x:v>
      </x:c>
      <x:c r="C3" s="2" t="str">
        <x:v>份量边界</x:v>
      </x:c>
      <x:c r="D3" s="2" t="str">
        <x:v>确认本表candidate_min/max/step仅作为AI生成候选边界；批准后写入ACTIVE Ingredient Master。</x:v>
      </x:c>
    </x:row>
    <x:row r="4">
      <x:c r="A4" s="2" t="str">
        <x:v>全局</x:v>
      </x:c>
      <x:c r="B4" s="2" t="str">
        <x:v>高</x:v>
      </x:c>
      <x:c r="C4" s="2" t="str">
        <x:v>执行步长</x:v>
      </x:c>
      <x:c r="D4" s="2" t="str">
        <x:v>确认谷物5g、肉鱼5g、蔬果10g、奶/豆浆/酸奶50ml(g)、坚果5g、油1g、鸡蛋整枚50g的候选步长。</x:v>
      </x:c>
    </x:row>
    <x:row r="5">
      <x:c r="A5" s="2" t="str">
        <x:v>全局</x:v>
      </x:c>
      <x:c r="B5" s="2" t="str">
        <x:v>高</x:v>
      </x:c>
      <x:c r="C5" s="2" t="str">
        <x:v>营养重算</x:v>
      </x:c>
      <x:c r="D5" s="2" t="str">
        <x:v>确认任何执行化、替换、配方改变后都必须重新计算单餐和全天营养，不能沿用缩放前数值。</x:v>
      </x:c>
    </x:row>
    <x:row r="6">
      <x:c r="A6" s="2" t="str">
        <x:v>全局</x:v>
      </x:c>
      <x:c r="B6" s="2" t="str">
        <x:v>高</x:v>
      </x:c>
      <x:c r="C6" s="2" t="str">
        <x:v>AI_GENERATED_DISH</x:v>
      </x:c>
      <x:c r="D6" s="2" t="str">
        <x:v>确认AI只生成候选食材+候选克重；精确营养由认可数据源计算，医护审核后才能发布。</x:v>
      </x:c>
    </x:row>
    <x:row r="7">
      <x:c r="A7" s="2" t="str">
        <x:v>低脂牛奶</x:v>
      </x:c>
      <x:c r="B7" s="2" t="str">
        <x:v>高</x:v>
      </x:c>
      <x:c r="C7" s="2" t="str">
        <x:v>产品标签</x:v>
      </x:c>
      <x:c r="D7" s="2" t="str">
        <x:v>确定医院/项目采用的低脂奶产品或标签规则；数据库参考不能替代具体产品标签。</x:v>
      </x:c>
    </x:row>
    <x:row r="8">
      <x:c r="A8" s="2" t="str">
        <x:v>无糖酸奶</x:v>
      </x:c>
      <x:c r="B8" s="2" t="str">
        <x:v>高</x:v>
      </x:c>
      <x:c r="C8" s="2" t="str">
        <x:v>产品标签+单位</x:v>
      </x:c>
      <x:c r="D8" s="2" t="str">
        <x:v>确定具体无糖酸奶产品；建议把当前组件中的ml改为g/包装净含量。</x:v>
      </x:c>
    </x:row>
    <x:row r="9">
      <x:c r="A9" s="2" t="str">
        <x:v>无糖豆浆</x:v>
      </x:c>
      <x:c r="B9" s="2" t="str">
        <x:v>高</x:v>
      </x:c>
      <x:c r="C9" s="2" t="str">
        <x:v>产品/配方</x:v>
      </x:c>
      <x:c r="D9" s="2" t="str">
        <x:v>确定具体无糖豆浆产品或院内标准配方；EXACT营养以标签/标准配方为准。</x:v>
      </x:c>
    </x:row>
    <x:row r="10">
      <x:c r="A10" s="2" t="str">
        <x:v>全麦面包</x:v>
      </x:c>
      <x:c r="B10" s="2" t="str">
        <x:v>高</x:v>
      </x:c>
      <x:c r="C10" s="2" t="str">
        <x:v>产品标签</x:v>
      </x:c>
      <x:c r="D10" s="2" t="str">
        <x:v>确定产品标签或院内标准；现有数据库无足够精确匹配。</x:v>
      </x:c>
    </x:row>
    <x:row r="11">
      <x:c r="A11" s="2" t="str">
        <x:v>糙米</x:v>
      </x:c>
      <x:c r="B11" s="2" t="str">
        <x:v>高</x:v>
      </x:c>
      <x:c r="C11" s="2" t="str">
        <x:v>营养源</x:v>
      </x:c>
      <x:c r="D11" s="2" t="str">
        <x:v>确认项目既有标准值或补充认可精确条目。</x:v>
      </x:c>
    </x:row>
    <x:row r="12">
      <x:c r="A12" s="2" t="str">
        <x:v>全麦面粉</x:v>
      </x:c>
      <x:c r="B12" s="2" t="str">
        <x:v>高</x:v>
      </x:c>
      <x:c r="C12" s="2" t="str">
        <x:v>营养源</x:v>
      </x:c>
      <x:c r="D12" s="2" t="str">
        <x:v>确认项目既有标准值或补充认可精确条目。</x:v>
      </x:c>
    </x:row>
    <x:row r="13">
      <x:c r="A13" s="2" t="str">
        <x:v>荞麦面干</x:v>
      </x:c>
      <x:c r="B13" s="2" t="str">
        <x:v>高</x:v>
      </x:c>
      <x:c r="C13" s="2" t="str">
        <x:v>营养源</x:v>
      </x:c>
      <x:c r="D13" s="2" t="str">
        <x:v>确认具体产品/原料及营养源，避免“荞麦面”品牌差异。</x:v>
      </x:c>
    </x:row>
    <x:row r="14">
      <x:c r="A14" s="2" t="str">
        <x:v>鸡腿肉去皮</x:v>
      </x:c>
      <x:c r="B14" s="2" t="str">
        <x:v>高</x:v>
      </x:c>
      <x:c r="C14" s="2" t="str">
        <x:v>身份/营养源</x:v>
      </x:c>
      <x:c r="D14" s="2" t="str">
        <x:v>现有CDC鸡腿条目并非去皮精确匹配；确认去皮原料营养源。</x:v>
      </x:c>
    </x:row>
    <x:row r="15">
      <x:c r="A15" s="2" t="str">
        <x:v>虾仁</x:v>
      </x:c>
      <x:c r="B15" s="2" t="str">
        <x:v>高</x:v>
      </x:c>
      <x:c r="C15" s="2" t="str">
        <x:v>品种</x:v>
      </x:c>
      <x:c r="D15" s="2" t="str">
        <x:v>明确采用的虾种/通用标准，精确闭合前必须匹配。</x:v>
      </x:c>
    </x:row>
    <x:row r="16">
      <x:c r="A16" s="2" t="str">
        <x:v>杏仁</x:v>
      </x:c>
      <x:c r="B16" s="2" t="str">
        <x:v>高</x:v>
      </x:c>
      <x:c r="C16" s="2" t="str">
        <x:v>食材身份</x:v>
      </x:c>
      <x:c r="D16" s="2" t="str">
        <x:v>确认项目“杏仁”是树坚果杏仁（almond）而非其他杏仁/杏核仁产品。</x:v>
      </x:c>
    </x:row>
    <x:row r="17">
      <x:c r="A17" s="2" t="str">
        <x:v>木耳鲜</x:v>
      </x:c>
      <x:c r="B17" s="2" t="str">
        <x:v>高</x:v>
      </x:c>
      <x:c r="C17" s="2" t="str">
        <x:v>处理状态</x:v>
      </x:c>
      <x:c r="D17" s="2" t="str">
        <x:v>确认实际原料是否为水发黑木耳；若是统一名称及hydrated_edible_weight。</x:v>
      </x:c>
    </x:row>
    <x:row r="18">
      <x:c r="A18" s="2" t="str">
        <x:v>植物油</x:v>
      </x:c>
      <x:c r="B18" s="2" t="str">
        <x:v>中</x:v>
      </x:c>
      <x:c r="C18" s="2" t="str">
        <x:v>油种</x:v>
      </x:c>
      <x:c r="D18" s="2" t="str">
        <x:v>宏量营养可按油脂通用值；如需脂肪酸/慢病精细化，记录具体油种。</x:v>
      </x:c>
    </x:row>
    <x:row r="19">
      <x:c r="A19" s="2" t="str">
        <x:v>D/E覆盖</x:v>
      </x:c>
      <x:c r="B19" s="2" t="str">
        <x:v>高</x:v>
      </x:c>
      <x:c r="C19" s="2" t="str">
        <x:v>营养恢复</x:v>
      </x:c>
      <x:c r="D19" s="2" t="str">
        <x:v>确认早饱/恶心/摄入不足时，份量边界可在安全前提下由营养恢复策略覆盖，但不得跳过医护审核。</x:v>
      </x:c>
    </x:row>
    <x:row r="20">
      <x:c r="A20" s="57" t="str">
        <x:v>组件 C007</x:v>
      </x:c>
      <x:c r="B20" s="58" t="str">
        <x:v>高</x:v>
      </x:c>
      <x:c r="C20" s="59" t="str">
        <x:v>跨表营养差异</x:v>
      </x:c>
      <x:c r="D20" s="60" t="str">
        <x:v>原组件 129kcal/P2.4/C30.2/F0.2；当前Master映射汇总 154.9kcal/P1.7/C37.0/F0.3。确认营养源/产品标签/重量口径后再写回。</x:v>
      </x:c>
    </x:row>
    <x:row r="21">
      <x:c r="A21" s="61" t="str">
        <x:v>组件 P003</x:v>
      </x:c>
      <x:c r="B21" s="62" t="str">
        <x:v>高</x:v>
      </x:c>
      <x:c r="C21" s="63" t="str">
        <x:v>跨表营养差异</x:v>
      </x:c>
      <x:c r="D21" s="64" t="str">
        <x:v>原组件 178kcal/P24.6/C0/F8.4；当前Master映射汇总 178.1kcal/P19.4/C2.5/F10.0。确认营养源/产品标签/重量口径后再写回。</x:v>
      </x:c>
    </x:row>
    <x:row r="22">
      <x:c r="A22" s="61" t="str">
        <x:v>组件 P005</x:v>
      </x:c>
      <x:c r="B22" s="62" t="str">
        <x:v>中</x:v>
      </x:c>
      <x:c r="C22" s="63" t="str">
        <x:v>跨表营养差异</x:v>
      </x:c>
      <x:c r="D22" s="64" t="str">
        <x:v>原组件 175kcal/P17.5/C6/F8.7；当前Master映射汇总 161.7kcal/P17.5/C7.0/F7.1。确认营养源/产品标签/重量口径后再写回。</x:v>
      </x:c>
    </x:row>
    <x:row r="23">
      <x:c r="A23" s="61" t="str">
        <x:v>组件 P006</x:v>
      </x:c>
      <x:c r="B23" s="62" t="str">
        <x:v>中</x:v>
      </x:c>
      <x:c r="C23" s="63" t="str">
        <x:v>跨表营养差异</x:v>
      </x:c>
      <x:c r="D23" s="64" t="str">
        <x:v>原组件 190kcal/P17.7/C6.9/F10.2；当前Master映射汇总 199.3kcal/P17.7/C7.5/F11.5。确认营养源/产品标签/重量口径后再写回。</x:v>
      </x:c>
    </x:row>
    <x:row r="24">
      <x:c r="A24" s="61" t="str">
        <x:v>组件 P007</x:v>
      </x:c>
      <x:c r="B24" s="62" t="str">
        <x:v>中</x:v>
      </x:c>
      <x:c r="C24" s="63" t="str">
        <x:v>跨表营养差异</x:v>
      </x:c>
      <x:c r="D24" s="64" t="str">
        <x:v>原组件 149kcal/P18.8/C1.5/F7.4；当前Master映射汇总 137.4kcal/P16.7/C2.3/F6.8。确认营养源/产品标签/重量口径后再写回。</x:v>
      </x:c>
    </x:row>
    <x:row r="25">
      <x:c r="A25" s="61" t="str">
        <x:v>组件 P008</x:v>
      </x:c>
      <x:c r="B25" s="62" t="str">
        <x:v>高</x:v>
      </x:c>
      <x:c r="C25" s="63" t="str">
        <x:v>跨表营养差异</x:v>
      </x:c>
      <x:c r="D25" s="64" t="str">
        <x:v>原组件 240kcal/P20.1/C8.7/F15；当前Master映射汇总 214.3kcal/P20.1/C7.2/F12.4。确认营养源/产品标签/重量口径后再写回。</x:v>
      </x:c>
    </x:row>
    <x:row r="26">
      <x:c r="A26" s="61" t="str">
        <x:v>组件 P010</x:v>
      </x:c>
      <x:c r="B26" s="62" t="str">
        <x:v>中</x:v>
      </x:c>
      <x:c r="C26" s="63" t="str">
        <x:v>跨表营养差异</x:v>
      </x:c>
      <x:c r="D26" s="64" t="str">
        <x:v>原组件 178kcal/P22.4/C6.6/F7.3；当前Master映射汇总 162.8kcal/P19.6/C7.6/F6.4。确认营养源/产品标签/重量口径后再写回。</x:v>
      </x:c>
    </x:row>
    <x:row r="27">
      <x:c r="A27" s="61" t="str">
        <x:v>组件 P011</x:v>
      </x:c>
      <x:c r="B27" s="62" t="str">
        <x:v>高</x:v>
      </x:c>
      <x:c r="C27" s="63" t="str">
        <x:v>跨表营养差异</x:v>
      </x:c>
      <x:c r="D27" s="64" t="str">
        <x:v>原组件 190kcal/P21.2/C9/F8；当前Master映射汇总 190.6kcal/P17.5/C11.6/F9.3。确认营养源/产品标签/重量口径后再写回。</x:v>
      </x:c>
    </x:row>
    <x:row r="28">
      <x:c r="A28" s="61" t="str">
        <x:v>组件 P012</x:v>
      </x:c>
      <x:c r="B28" s="62" t="str">
        <x:v>中</x:v>
      </x:c>
      <x:c r="C28" s="63" t="str">
        <x:v>跨表营养差异</x:v>
      </x:c>
      <x:c r="D28" s="64" t="str">
        <x:v>原组件 174kcal/P17.4/C5.7/F8.7；当前Master映射汇总 159.5kcal/P17.4/C6.7/F7.1。确认营养源/产品标签/重量口径后再写回。</x:v>
      </x:c>
    </x:row>
    <x:row r="29">
      <x:c r="A29" s="61" t="str">
        <x:v>组件 P013</x:v>
      </x:c>
      <x:c r="B29" s="62" t="str">
        <x:v>高</x:v>
      </x:c>
      <x:c r="C29" s="63" t="str">
        <x:v>跨表营养差异</x:v>
      </x:c>
      <x:c r="D29" s="64" t="str">
        <x:v>原组件 208kcal/P23.2/C8.3/F9.8；当前Master映射汇总 181.8kcal/P21.4/C8.0/F7.5。确认营养源/产品标签/重量口径后再写回。</x:v>
      </x:c>
    </x:row>
    <x:row r="30">
      <x:c r="A30" s="61" t="str">
        <x:v>组件 P014</x:v>
      </x:c>
      <x:c r="B30" s="62" t="str">
        <x:v>中</x:v>
      </x:c>
      <x:c r="C30" s="63" t="str">
        <x:v>跨表营养差异</x:v>
      </x:c>
      <x:c r="D30" s="64" t="str">
        <x:v>原组件 206kcal/P18.9/C4.4/F12.9；当前Master映射汇总 188.8kcal/P18.9/C3.4/F11.2。确认营养源/产品标签/重量口径后再写回。</x:v>
      </x:c>
    </x:row>
    <x:row r="31">
      <x:c r="A31" s="61" t="str">
        <x:v>组件 P015</x:v>
      </x:c>
      <x:c r="B31" s="62" t="str">
        <x:v>中</x:v>
      </x:c>
      <x:c r="C31" s="63" t="str">
        <x:v>跨表营养差异</x:v>
      </x:c>
      <x:c r="D31" s="64" t="str">
        <x:v>原组件 187kcal/P14.9/C13.4/F8.2；当前Master映射汇总 180.3kcal/P13.9/C13.9/F7.7。确认营养源/产品标签/重量口径后再写回。</x:v>
      </x:c>
    </x:row>
    <x:row r="32">
      <x:c r="A32" s="61" t="str">
        <x:v>组件 V011</x:v>
      </x:c>
      <x:c r="B32" s="62" t="str">
        <x:v>中</x:v>
      </x:c>
      <x:c r="C32" s="63" t="str">
        <x:v>跨表营养差异</x:v>
      </x:c>
      <x:c r="D32" s="64" t="str">
        <x:v>原组件 81kcal/P3.3/C10.3/F3.6；当前Master映射汇总 79.8kcal/P3.3/C9.0/F3.8。确认营养源/产品标签/重量口径后再写回。</x:v>
      </x:c>
    </x:row>
    <x:row r="33">
      <x:c r="A33" s="61" t="str">
        <x:v>组件 S001</x:v>
      </x:c>
      <x:c r="B33" s="62" t="str">
        <x:v>中</x:v>
      </x:c>
      <x:c r="C33" s="63" t="str">
        <x:v>跨表营养差异</x:v>
      </x:c>
      <x:c r="D33" s="64" t="str">
        <x:v>原组件 156kcal/P7.1/C26/F3.2；当前Master映射汇总 152.6kcal/P6.0/C26.2/F2.8。确认营养源/产品标签/重量口径后再写回。</x:v>
      </x:c>
    </x:row>
    <x:row r="34">
      <x:c r="A34" s="61" t="str">
        <x:v>组件 S002</x:v>
      </x:c>
      <x:c r="B34" s="62" t="str">
        <x:v>高</x:v>
      </x:c>
      <x:c r="C34" s="63" t="str">
        <x:v>跨表营养差异</x:v>
      </x:c>
      <x:c r="D34" s="64" t="str">
        <x:v>原组件 141kcal/P6.7/C19.1/F5；当前Master映射汇总 156.3kcal/P5.3/C24.6/F4.4。确认营养源/产品标签/重量口径后再写回。</x:v>
      </x:c>
    </x:row>
    <x:row r="35">
      <x:c r="A35" s="61" t="str">
        <x:v>组件 S003</x:v>
      </x:c>
      <x:c r="B35" s="62" t="str">
        <x:v>高</x:v>
      </x:c>
      <x:c r="C35" s="63" t="str">
        <x:v>跨表营养差异</x:v>
      </x:c>
      <x:c r="D35" s="64" t="str">
        <x:v>原组件 139kcal/P8/C18.7/F4.1；当前Master映射汇总 99.6kcal/P5.0/C18.7/F2.0。确认营养源/产品标签/重量口径后再写回。</x:v>
      </x:c>
    </x:row>
    <x:row r="36">
      <x:c r="A36" s="61" t="str">
        <x:v>组件 S005</x:v>
      </x:c>
      <x:c r="B36" s="62" t="str">
        <x:v>高</x:v>
      </x:c>
      <x:c r="C36" s="63" t="str">
        <x:v>跨表营养差异</x:v>
      </x:c>
      <x:c r="D36" s="64" t="str">
        <x:v>原组件 158kcal/P7.2/C8.8/F10.4；当前Master映射汇总 171.6kcal/P5.2/C15.9/F9.9。确认营养源/产品标签/重量口径后再写回。</x:v>
      </x:c>
    </x:row>
    <x:row r="37">
      <x:c r="A37" s="65" t="str">
        <x:v>组件 S010</x:v>
      </x:c>
      <x:c r="B37" s="66" t="str">
        <x:v>高</x:v>
      </x:c>
      <x:c r="C37" s="67" t="str">
        <x:v>跨表营养差异</x:v>
      </x:c>
      <x:c r="D37" s="68" t="str">
        <x:v>原组件 154kcal/P6.8/C22/F5；当前Master映射汇总 169.8kcal/P4.5/C28.5/F4.7。确认营养源/产品标签/重量口径后再写回。</x:v>
      </x:c>
    </x:row>
  </x:sheetData>
  <x:conditionalFormatting sqref="B2:B19">
    <x:cfRule type="expression" dxfId="2" priority="1">
      <x:formula>B2="高"</x:formula>
    </x:cfRule>
  </x:conditionalFormatting>
  <x:conditionalFormatting sqref="B20:B37">
    <x:cfRule type="expression" dxfId="3" priority="2">
      <x:formula>B20="高"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8" hidden="0" customWidth="1"/>
    <x:col min="3" max="3" width="28" hidden="0" customWidth="1"/>
    <x:col min="4" max="4" width="38" hidden="0" customWidth="1"/>
    <x:col min="5" max="5" width="16" hidden="0" customWidth="1"/>
    <x:col min="6" max="6" width="12" hidden="0" customWidth="1"/>
  </x:cols>
  <x:sheetData>
    <x:row r="1">
      <x:c r="A1" s="84" t="str">
        <x:v>ZXY Ingredient Master｜MDT原则定稿版 V1.3</x:v>
      </x:c>
      <x:c r="B1" s="84"/>
      <x:c r="C1" s="84"/>
      <x:c r="D1" s="84"/>
      <x:c r="E1" s="84"/>
      <x:c r="F1" s="84"/>
    </x:row>
    <x:row r="2">
      <x:c r="A2" s="2"/>
      <x:c r="B2" s="2"/>
      <x:c r="C2" s="2"/>
      <x:c r="D2" s="2"/>
      <x:c r="E2" s="2"/>
      <x:c r="F2" s="2"/>
    </x:row>
    <x:row r="3">
      <x:c r="A3" s="79" t="str">
        <x:v>MDT已同意按项目统一意见执行：Ingredient Master作为食材层单一事实来源；份量边界为AI候选执行边界；执行化/替换/配方变化后必须营养重算。正式归档的具体审核人/日期仍需项目方填写。</x:v>
      </x:c>
      <x:c r="B3" s="79"/>
      <x:c r="C3" s="79"/>
      <x:c r="D3" s="79"/>
      <x:c r="E3" s="79"/>
      <x:c r="F3" s="79"/>
    </x:row>
    <x:row r="4">
      <x:c r="A4" s="2"/>
      <x:c r="B4" s="2"/>
      <x:c r="C4" s="2"/>
      <x:c r="D4" s="2"/>
      <x:c r="E4" s="2"/>
      <x:c r="F4" s="2"/>
    </x:row>
    <x:row r="5">
      <x:c r="A5" s="85" t="str">
        <x:v>定稿规则</x:v>
      </x:c>
      <x:c r="B5" s="85" t="str">
        <x:v>结论</x:v>
      </x:c>
      <x:c r="C5" s="2"/>
      <x:c r="D5" s="85" t="str">
        <x:v>状态统计</x:v>
      </x:c>
      <x:c r="E5" s="85" t="str">
        <x:v>数量</x:v>
      </x:c>
      <x:c r="F5" s="2"/>
    </x:row>
    <x:row r="6">
      <x:c r="A6" s="2" t="str">
        <x:v>单一事实来源</x:v>
      </x:c>
      <x:c r="B6" s="2" t="str">
        <x:v>Ingredient Master是基础食材身份、营养来源、weight_basis、min/max/step的唯一底层来源。</x:v>
      </x:c>
      <x:c r="C6" s="2"/>
      <x:c r="D6" s="2" t="str">
        <x:v>ACTIVE_FOR_EXACT</x:v>
      </x:c>
      <x:c r="E6" s="2" t="n">
        <x:f>COUNTIF(Ingredient_Master_MDT!AO2:AO49,"ACTIVE_FOR_EXACT")</x:f>
        <x:v>37</x:v>
      </x:c>
      <x:c r="F6" s="2"/>
    </x:row>
    <x:row r="7">
      <x:c r="A7" s="2" t="str">
        <x:v>重量口径</x:v>
      </x:c>
      <x:c r="B7" s="2" t="str">
        <x:v>干粮/面粉/干面=干/生重；肉鱼豆腐蔬果=烹调前可食部；奶/豆浆=ml；酸奶=包装净含量g；油=实际加入量。</x:v>
      </x:c>
      <x:c r="C7" s="2"/>
      <x:c r="D7" s="2" t="str">
        <x:v>RULE_APPROVED_SOURCE_PENDING</x:v>
      </x:c>
      <x:c r="E7" s="2" t="n">
        <x:f>COUNTIF(Ingredient_Master_MDT!AO2:AO49,"RULE_APPROVED_SOURCE_PENDING")</x:f>
        <x:v>11</x:v>
      </x:c>
      <x:c r="F7" s="2"/>
    </x:row>
    <x:row r="8">
      <x:c r="A8" s="2" t="str">
        <x:v>AI候选边界</x:v>
      </x:c>
      <x:c r="B8" s="2" t="str">
        <x:v>candidate_min/max/step经MDT原则确认；用于约束AI候选，不等同个体患者的硬性临床处方上下限。</x:v>
      </x:c>
      <x:c r="C8" s="2"/>
      <x:c r="D8" s="2" t="str">
        <x:v>READY_FOR_USE</x:v>
      </x:c>
      <x:c r="E8" s="2" t="n">
        <x:f>COUNTIF(Ingredient_Master_MDT!AM2:AM49,"READY_FOR_USE")</x:f>
        <x:v>37</x:v>
      </x:c>
      <x:c r="F8" s="2"/>
    </x:row>
    <x:row r="9">
      <x:c r="A9" s="2" t="str">
        <x:v>营养源优先级</x:v>
      </x:c>
      <x:c r="B9" s="2" t="str">
        <x:v>实际产品标签/院内指定产品 &gt; 中国疾控精确条目 &gt; MDT确认项目参考值 &gt; 未确认候选。</x:v>
      </x:c>
      <x:c r="C9" s="2"/>
      <x:c r="D9" s="2" t="str">
        <x:v>SOURCE_REVIEW_REQUIRED</x:v>
      </x:c>
      <x:c r="E9" s="2" t="n">
        <x:f>COUNTIF(Ingredient_Master_MDT!AM2:AM49,"SOURCE_REVIEW_REQUIRED")</x:f>
        <x:v>11</x:v>
      </x:c>
      <x:c r="F9" s="2"/>
    </x:row>
    <x:row r="10">
      <x:c r="A10" s="2" t="str">
        <x:v>动态新菜</x:v>
      </x:c>
      <x:c r="B10" s="2" t="str">
        <x:v>AI可生成候选食材和克重，但EXACT营养必须由认可营养源计算，医护审核后发布。</x:v>
      </x:c>
      <x:c r="C10" s="2"/>
      <x:c r="D10" s="2"/>
      <x:c r="E10" s="2"/>
      <x:c r="F10" s="2"/>
    </x:row>
    <x:row r="11">
      <x:c r="A11" s="2" t="str">
        <x:v>未决数据</x:v>
      </x:c>
      <x:c r="B11" s="2" t="str">
        <x:v>产品标签/食材身份/品种/精确条目未确认者保留RULE_APPROVED_SOURCE_PENDING，不进入EXACT。</x:v>
      </x:c>
      <x:c r="C11" s="2"/>
      <x:c r="D11" s="2"/>
      <x:c r="E11" s="2"/>
      <x:c r="F11" s="2"/>
    </x:row>
    <x:row r="12">
      <x:c r="A12" s="2" t="str">
        <x:v>归档</x:v>
      </x:c>
      <x:c r="B12" s="2" t="str">
        <x:v>审核人、审核日期未提供，不在本版虚构；正式归档时补填。</x:v>
      </x:c>
      <x:c r="C12" s="2"/>
      <x:c r="D12" s="2"/>
      <x:c r="E12" s="2"/>
      <x:c r="F12" s="2"/>
    </x:row>
    <x:row r="13">
      <x:c r="A13" s="2"/>
      <x:c r="B13" s="2"/>
      <x:c r="C13" s="2"/>
      <x:c r="D13" s="2"/>
      <x:c r="E13" s="2"/>
      <x:c r="F13" s="2"/>
    </x:row>
    <x:row r="14">
      <x:c r="A14" s="2"/>
      <x:c r="B14" s="2"/>
      <x:c r="C14" s="2"/>
      <x:c r="D14" s="2"/>
      <x:c r="E14" s="2"/>
      <x:c r="F14" s="2"/>
    </x:row>
    <x:row r="15">
      <x:c r="A15" s="86" t="str">
        <x:v>ingredient_id</x:v>
      </x:c>
      <x:c r="B15" s="86" t="str">
        <x:v>食材</x:v>
      </x:c>
      <x:c r="C15" s="86" t="str">
        <x:v>当前来源状态</x:v>
      </x:c>
      <x:c r="D15" s="86" t="str">
        <x:v>后续处理</x:v>
      </x:c>
      <x:c r="E15" s="2"/>
      <x:c r="F15" s="2"/>
    </x:row>
    <x:row r="16">
      <x:c r="A16" s="2" t="str">
        <x:v>ING001</x:v>
      </x:c>
      <x:c r="B16" s="2" t="str">
        <x:v>全麦面包</x:v>
      </x:c>
      <x:c r="C16" s="2" t="str">
        <x:v>PRODUCT_LABEL_REQUIRED</x:v>
      </x:c>
      <x:c r="D16" s="2" t="str">
        <x:v>规则已确认；补来源/标签/身份后转ACTIVE</x:v>
      </x:c>
      <x:c r="E16" s="2"/>
      <x:c r="F16" s="2"/>
    </x:row>
    <x:row r="17">
      <x:c r="A17" s="2" t="str">
        <x:v>ING002</x:v>
      </x:c>
      <x:c r="B17" s="2" t="str">
        <x:v>全麦面粉</x:v>
      </x:c>
      <x:c r="C17" s="2" t="str">
        <x:v>PROJECT_REFERENCE_PENDING_MDT</x:v>
      </x:c>
      <x:c r="D17" s="2" t="str">
        <x:v>规则已确认；补来源/标签/身份后转ACTIVE</x:v>
      </x:c>
      <x:c r="E17" s="2"/>
      <x:c r="F17" s="2"/>
    </x:row>
    <x:row r="18">
      <x:c r="A18" s="2" t="str">
        <x:v>ING008</x:v>
      </x:c>
      <x:c r="B18" s="2" t="str">
        <x:v>糙米</x:v>
      </x:c>
      <x:c r="C18" s="2" t="str">
        <x:v>PROJECT_REFERENCE_PENDING_MDT</x:v>
      </x:c>
      <x:c r="D18" s="2" t="str">
        <x:v>规则已确认；补来源/标签/身份后转ACTIVE</x:v>
      </x:c>
      <x:c r="E18" s="2"/>
      <x:c r="F18" s="2"/>
    </x:row>
    <x:row r="19">
      <x:c r="A19" s="2" t="str">
        <x:v>ING010</x:v>
      </x:c>
      <x:c r="B19" s="2" t="str">
        <x:v>荞麦面干</x:v>
      </x:c>
      <x:c r="C19" s="2" t="str">
        <x:v>PROJECT_REFERENCE_PENDING_MDT</x:v>
      </x:c>
      <x:c r="D19" s="2" t="str">
        <x:v>规则已确认；补来源/标签/身份后转ACTIVE</x:v>
      </x:c>
      <x:c r="E19" s="2"/>
      <x:c r="F19" s="2"/>
    </x:row>
    <x:row r="20">
      <x:c r="A20" s="2" t="str">
        <x:v>ING014</x:v>
      </x:c>
      <x:c r="B20" s="2" t="str">
        <x:v>虾仁</x:v>
      </x:c>
      <x:c r="C20" s="2" t="str">
        <x:v>SPECIES_MATCH_REQUIRED</x:v>
      </x:c>
      <x:c r="D20" s="2" t="str">
        <x:v>规则已确认；补来源/标签/身份后转ACTIVE</x:v>
      </x:c>
      <x:c r="E20" s="2"/>
      <x:c r="F20" s="2"/>
    </x:row>
    <x:row r="21">
      <x:c r="A21" s="2" t="str">
        <x:v>ING018</x:v>
      </x:c>
      <x:c r="B21" s="2" t="str">
        <x:v>鸡腿肉去皮</x:v>
      </x:c>
      <x:c r="C21" s="2" t="str">
        <x:v>DERIVED_PROJECT_CANDIDATE_PENDING_MDT</x:v>
      </x:c>
      <x:c r="D21" s="2" t="str">
        <x:v>规则已确认；补来源/标签/身份后转ACTIVE</x:v>
      </x:c>
      <x:c r="E21" s="2"/>
      <x:c r="F21" s="2"/>
    </x:row>
    <x:row r="22">
      <x:c r="A22" s="2" t="str">
        <x:v>ING021</x:v>
      </x:c>
      <x:c r="B22" s="2" t="str">
        <x:v>低脂牛奶</x:v>
      </x:c>
      <x:c r="C22" s="2" t="str">
        <x:v>PRODUCT_LABEL_REQUIRED</x:v>
      </x:c>
      <x:c r="D22" s="2" t="str">
        <x:v>规则已确认；补来源/标签/身份后转ACTIVE</x:v>
      </x:c>
      <x:c r="E22" s="2"/>
      <x:c r="F22" s="2"/>
    </x:row>
    <x:row r="23">
      <x:c r="A23" s="2" t="str">
        <x:v>ING022</x:v>
      </x:c>
      <x:c r="B23" s="2" t="str">
        <x:v>无糖酸奶</x:v>
      </x:c>
      <x:c r="C23" s="2" t="str">
        <x:v>PRODUCT_LABEL_REQUIRED</x:v>
      </x:c>
      <x:c r="D23" s="2" t="str">
        <x:v>规则已确认；补来源/标签/身份后转ACTIVE</x:v>
      </x:c>
      <x:c r="E23" s="2"/>
      <x:c r="F23" s="2"/>
    </x:row>
    <x:row r="24">
      <x:c r="A24" s="2" t="str">
        <x:v>ING023</x:v>
      </x:c>
      <x:c r="B24" s="2" t="str">
        <x:v>无糖豆浆</x:v>
      </x:c>
      <x:c r="C24" s="2" t="str">
        <x:v>PRODUCT_LABEL_REQUIRED</x:v>
      </x:c>
      <x:c r="D24" s="2" t="str">
        <x:v>规则已确认；补来源/标签/身份后转ACTIVE</x:v>
      </x:c>
      <x:c r="E24" s="2"/>
      <x:c r="F24" s="2"/>
    </x:row>
    <x:row r="25">
      <x:c r="A25" s="2" t="str">
        <x:v>ING027</x:v>
      </x:c>
      <x:c r="B25" s="2" t="str">
        <x:v>木耳鲜</x:v>
      </x:c>
      <x:c r="C25" s="2" t="str">
        <x:v>IDENTITY_REVIEW_REQUIRED</x:v>
      </x:c>
      <x:c r="D25" s="2" t="str">
        <x:v>规则已确认；补来源/标签/身份后转ACTIVE</x:v>
      </x:c>
      <x:c r="E25" s="2"/>
      <x:c r="F25" s="2"/>
    </x:row>
    <x:row r="26">
      <x:c r="A26" s="2" t="str">
        <x:v>ING046</x:v>
      </x:c>
      <x:c r="B26" s="2" t="str">
        <x:v>杏仁</x:v>
      </x:c>
      <x:c r="C26" s="2" t="str">
        <x:v>IDENTITY_REVIEW_REQUIRED</x:v>
      </x:c>
      <x:c r="D26" s="2" t="str">
        <x:v>规则已确认；补来源/标签/身份后转ACTIVE</x:v>
      </x:c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2"/>
      <x:c r="C29" s="2"/>
      <x:c r="D29" s="2"/>
      <x:c r="E29" s="2"/>
      <x:c r="F29" s="2"/>
    </x:row>
    <x:row r="30">
      <x:c r="A30" s="2"/>
      <x:c r="B30" s="2"/>
      <x:c r="C30" s="2"/>
      <x:c r="D30" s="2"/>
      <x:c r="E30" s="2"/>
      <x:c r="F30" s="2"/>
    </x:row>
  </x:sheetData>
  <x:mergeCells>
    <x:mergeCell ref="A1:F1"/>
    <x:mergeCell ref="A3:F3"/>
  </x:mergeCells>
  <x:pageMargins left="0.7" right="0.7" top="0.75" bottom="0.75" header="0.3" footer="0.3"/>
</x:worksheet>
</file>